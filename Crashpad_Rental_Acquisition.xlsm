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3" codeName="{51196F13-6AD0-C1B8-E2B4-A1F9AE17003E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/Users/thebargaintrendsetter/Desktop/ExcelForDataAnalysis/20180518 Crashpad_Aquisition/2. Prepared Data/"/>
    </mc:Choice>
  </mc:AlternateContent>
  <xr:revisionPtr revIDLastSave="0" documentId="8_{927C3C7F-CC0C-CB47-85E1-1F1B2CF81994}" xr6:coauthVersionLast="33" xr6:coauthVersionMax="33" xr10:uidLastSave="{00000000-0000-0000-0000-000000000000}"/>
  <workbookProtection workbookAlgorithmName="SHA-512" workbookHashValue="igP1VcxICnAz8vJEcBt4OErhzKmM8bkxVI9+p22ITh1Qo7eQ3B+Y7xKLGMt/RqV5zfz8STp+oDuChslp/v8Zbw==" workbookSaltValue="Pg2/h8rzk7NsXbL5P00r5A==" workbookSpinCount="100000" lockStructure="1"/>
  <bookViews>
    <workbookView xWindow="0" yWindow="0" windowWidth="28800" windowHeight="18000" tabRatio="967" activeTab="7" xr2:uid="{00000000-000D-0000-FFFF-FFFF00000000}"/>
  </bookViews>
  <sheets>
    <sheet name="Calculations" sheetId="5" state="hidden" r:id="rId1"/>
    <sheet name="PCF Monthly - Statement" sheetId="4" state="hidden" r:id="rId2"/>
    <sheet name="Rental Yearly Statement" sheetId="2" r:id="rId3"/>
    <sheet name="Revenue" sheetId="3" state="hidden" r:id="rId4"/>
    <sheet name="CP PCF Monthly Statement " sheetId="6" state="hidden" r:id="rId5"/>
    <sheet name="CP Yearly Statement" sheetId="7" r:id="rId6"/>
    <sheet name="CP vs Rental PT Data" sheetId="8" state="hidden" r:id="rId7"/>
    <sheet name="CP vs Rental Dashboard" sheetId="9" r:id="rId8"/>
  </sheets>
  <definedNames>
    <definedName name="_xlnm.Print_Area" localSheetId="7">'CP vs Rental Dashboard'!$B:$O</definedName>
  </definedNames>
  <calcPr calcId="179017" calcMode="autoNoTable" iterate="1"/>
  <pivotCaches>
    <pivotCache cacheId="0" r:id="rId9"/>
    <pivotCache cacheId="1" r:id="rId10"/>
    <pivotCache cacheId="2" r:id="rId11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2" i="2" l="1"/>
  <c r="C10" i="7" l="1"/>
  <c r="D10" i="7"/>
  <c r="E10" i="7"/>
  <c r="F10" i="7"/>
  <c r="B10" i="7"/>
  <c r="C26" i="7"/>
  <c r="D26" i="7"/>
  <c r="E26" i="7"/>
  <c r="F26" i="7"/>
  <c r="B26" i="7"/>
  <c r="C20" i="7"/>
  <c r="D20" i="7"/>
  <c r="E20" i="7"/>
  <c r="F20" i="7"/>
  <c r="C19" i="7"/>
  <c r="D19" i="7"/>
  <c r="E19" i="7"/>
  <c r="F19" i="7"/>
  <c r="C18" i="7"/>
  <c r="D18" i="7"/>
  <c r="E18" i="7"/>
  <c r="F18" i="7"/>
  <c r="B20" i="7"/>
  <c r="B19" i="7"/>
  <c r="B18" i="7"/>
  <c r="C17" i="7"/>
  <c r="D17" i="7"/>
  <c r="E17" i="7"/>
  <c r="F17" i="7"/>
  <c r="B17" i="7"/>
  <c r="B15" i="7"/>
  <c r="C15" i="7" s="1"/>
  <c r="D15" i="7" s="1"/>
  <c r="C10" i="6"/>
  <c r="D10" i="6"/>
  <c r="E10" i="6"/>
  <c r="F10" i="6"/>
  <c r="G10" i="6"/>
  <c r="H10" i="6"/>
  <c r="I10" i="6"/>
  <c r="J10" i="6"/>
  <c r="K10" i="6"/>
  <c r="L10" i="6"/>
  <c r="M10" i="6"/>
  <c r="B10" i="6"/>
  <c r="C18" i="3"/>
  <c r="B3" i="7" s="1"/>
  <c r="C20" i="3"/>
  <c r="C21" i="3" s="1"/>
  <c r="F4" i="6" s="1"/>
  <c r="C15" i="6"/>
  <c r="C16" i="6"/>
  <c r="C21" i="6"/>
  <c r="D15" i="6"/>
  <c r="D21" i="6" s="1"/>
  <c r="D16" i="6"/>
  <c r="E15" i="6"/>
  <c r="E16" i="6"/>
  <c r="F15" i="6"/>
  <c r="F16" i="6"/>
  <c r="G15" i="6"/>
  <c r="G16" i="6"/>
  <c r="G21" i="6"/>
  <c r="H15" i="6"/>
  <c r="H16" i="6"/>
  <c r="H21" i="6"/>
  <c r="I15" i="6"/>
  <c r="I16" i="6"/>
  <c r="J15" i="6"/>
  <c r="J16" i="6"/>
  <c r="K15" i="6"/>
  <c r="K16" i="6"/>
  <c r="K21" i="6"/>
  <c r="L15" i="6"/>
  <c r="L21" i="6" s="1"/>
  <c r="L16" i="6"/>
  <c r="M15" i="6"/>
  <c r="M16" i="6"/>
  <c r="B15" i="6"/>
  <c r="B16" i="6"/>
  <c r="B21" i="6"/>
  <c r="B3" i="2"/>
  <c r="C3" i="2" s="1"/>
  <c r="D3" i="2" s="1"/>
  <c r="E3" i="2" s="1"/>
  <c r="F3" i="2" s="1"/>
  <c r="C3" i="4"/>
  <c r="C10" i="4"/>
  <c r="D3" i="4"/>
  <c r="D10" i="4"/>
  <c r="E3" i="4"/>
  <c r="E10" i="4"/>
  <c r="F3" i="4"/>
  <c r="F10" i="4"/>
  <c r="G3" i="4"/>
  <c r="G10" i="4"/>
  <c r="H3" i="4"/>
  <c r="H10" i="4"/>
  <c r="I3" i="4"/>
  <c r="I10" i="4"/>
  <c r="J3" i="4"/>
  <c r="J10" i="4"/>
  <c r="K3" i="4"/>
  <c r="K10" i="4"/>
  <c r="L3" i="4"/>
  <c r="L10" i="4"/>
  <c r="M3" i="4"/>
  <c r="M10" i="4"/>
  <c r="C16" i="4"/>
  <c r="D16" i="4"/>
  <c r="E16" i="4"/>
  <c r="F16" i="4"/>
  <c r="G16" i="4"/>
  <c r="H16" i="4"/>
  <c r="H17" i="4" s="1"/>
  <c r="I16" i="4"/>
  <c r="J16" i="4"/>
  <c r="K16" i="4"/>
  <c r="L16" i="4"/>
  <c r="M16" i="4"/>
  <c r="B16" i="4"/>
  <c r="C15" i="4"/>
  <c r="D15" i="4"/>
  <c r="D17" i="4" s="1"/>
  <c r="E15" i="4"/>
  <c r="F15" i="4"/>
  <c r="G15" i="4"/>
  <c r="H15" i="4"/>
  <c r="I15" i="4"/>
  <c r="J15" i="4"/>
  <c r="J17" i="4" s="1"/>
  <c r="K15" i="4"/>
  <c r="L15" i="4"/>
  <c r="L17" i="4" s="1"/>
  <c r="M15" i="4"/>
  <c r="M17" i="4" s="1"/>
  <c r="B15" i="4"/>
  <c r="B17" i="4" s="1"/>
  <c r="B3" i="4"/>
  <c r="B6" i="4" s="1"/>
  <c r="B12" i="4" s="1"/>
  <c r="B10" i="4"/>
  <c r="B15" i="2"/>
  <c r="B17" i="2" s="1"/>
  <c r="B10" i="2"/>
  <c r="C10" i="2"/>
  <c r="D10" i="2"/>
  <c r="E10" i="2"/>
  <c r="F10" i="2"/>
  <c r="C6" i="3"/>
  <c r="C7" i="3"/>
  <c r="H3" i="6" l="1"/>
  <c r="D3" i="6"/>
  <c r="C17" i="4"/>
  <c r="K17" i="4"/>
  <c r="C8" i="3"/>
  <c r="H4" i="4"/>
  <c r="I4" i="4"/>
  <c r="J4" i="4"/>
  <c r="K4" i="4"/>
  <c r="D4" i="2"/>
  <c r="D4" i="4"/>
  <c r="L4" i="4"/>
  <c r="E4" i="2"/>
  <c r="E4" i="4"/>
  <c r="M4" i="4"/>
  <c r="F4" i="2"/>
  <c r="F4" i="4"/>
  <c r="C4" i="4"/>
  <c r="C4" i="2"/>
  <c r="G4" i="4"/>
  <c r="F17" i="4"/>
  <c r="J4" i="6"/>
  <c r="B19" i="4"/>
  <c r="B24" i="4" s="1"/>
  <c r="A22" i="8" s="1"/>
  <c r="C22" i="2"/>
  <c r="J21" i="6"/>
  <c r="G17" i="4"/>
  <c r="F21" i="6"/>
  <c r="B21" i="7"/>
  <c r="C10" i="3"/>
  <c r="L3" i="6"/>
  <c r="B6" i="2"/>
  <c r="B12" i="2" s="1"/>
  <c r="B19" i="2" s="1"/>
  <c r="B24" i="2" s="1"/>
  <c r="C15" i="2"/>
  <c r="C17" i="2" s="1"/>
  <c r="D21" i="7"/>
  <c r="E15" i="7"/>
  <c r="B6" i="7"/>
  <c r="B12" i="7" s="1"/>
  <c r="C3" i="7"/>
  <c r="E17" i="4"/>
  <c r="I17" i="4"/>
  <c r="M21" i="6"/>
  <c r="I21" i="6"/>
  <c r="E21" i="6"/>
  <c r="D4" i="6"/>
  <c r="H4" i="6"/>
  <c r="L4" i="6"/>
  <c r="C4" i="7"/>
  <c r="D4" i="7" s="1"/>
  <c r="E4" i="7" s="1"/>
  <c r="F4" i="7" s="1"/>
  <c r="E4" i="6"/>
  <c r="I4" i="6"/>
  <c r="M4" i="6"/>
  <c r="C4" i="6"/>
  <c r="G4" i="6"/>
  <c r="K4" i="6"/>
  <c r="M3" i="6"/>
  <c r="I3" i="6"/>
  <c r="E3" i="6"/>
  <c r="C21" i="7"/>
  <c r="C22" i="3"/>
  <c r="K3" i="6"/>
  <c r="G3" i="6"/>
  <c r="C3" i="6"/>
  <c r="B3" i="6"/>
  <c r="B6" i="6" s="1"/>
  <c r="B12" i="6" s="1"/>
  <c r="B23" i="6" s="1"/>
  <c r="B28" i="6" s="1"/>
  <c r="A12" i="8" s="1"/>
  <c r="J3" i="6"/>
  <c r="F3" i="6"/>
  <c r="C19" i="2" l="1"/>
  <c r="C24" i="2" s="1"/>
  <c r="B17" i="8" s="1"/>
  <c r="A17" i="8"/>
  <c r="D22" i="2"/>
  <c r="C11" i="3"/>
  <c r="B23" i="7"/>
  <c r="B28" i="7" s="1"/>
  <c r="A7" i="8" s="1"/>
  <c r="D15" i="2"/>
  <c r="D17" i="2" s="1"/>
  <c r="C24" i="3"/>
  <c r="C25" i="3" s="1"/>
  <c r="D3" i="7"/>
  <c r="F15" i="7"/>
  <c r="F21" i="7" s="1"/>
  <c r="E21" i="7"/>
  <c r="D19" i="2"/>
  <c r="C12" i="3" l="1"/>
  <c r="K5" i="4"/>
  <c r="K6" i="4" s="1"/>
  <c r="K12" i="4" s="1"/>
  <c r="K19" i="4" s="1"/>
  <c r="K24" i="4" s="1"/>
  <c r="J22" i="8" s="1"/>
  <c r="E5" i="2"/>
  <c r="D5" i="4"/>
  <c r="D6" i="4" s="1"/>
  <c r="D12" i="4" s="1"/>
  <c r="D19" i="4" s="1"/>
  <c r="D24" i="4" s="1"/>
  <c r="C22" i="8" s="1"/>
  <c r="L5" i="4"/>
  <c r="L6" i="4" s="1"/>
  <c r="L12" i="4" s="1"/>
  <c r="L19" i="4" s="1"/>
  <c r="L24" i="4" s="1"/>
  <c r="K22" i="8" s="1"/>
  <c r="F5" i="2"/>
  <c r="E5" i="4"/>
  <c r="E6" i="4" s="1"/>
  <c r="E12" i="4" s="1"/>
  <c r="E19" i="4" s="1"/>
  <c r="E24" i="4" s="1"/>
  <c r="D22" i="8" s="1"/>
  <c r="M5" i="4"/>
  <c r="M6" i="4" s="1"/>
  <c r="M12" i="4" s="1"/>
  <c r="M19" i="4" s="1"/>
  <c r="M24" i="4" s="1"/>
  <c r="L22" i="8" s="1"/>
  <c r="C5" i="2"/>
  <c r="C6" i="2" s="1"/>
  <c r="C12" i="2" s="1"/>
  <c r="F5" i="4"/>
  <c r="F6" i="4" s="1"/>
  <c r="F12" i="4" s="1"/>
  <c r="F19" i="4" s="1"/>
  <c r="F24" i="4" s="1"/>
  <c r="E22" i="8" s="1"/>
  <c r="C5" i="4"/>
  <c r="C6" i="4" s="1"/>
  <c r="C12" i="4" s="1"/>
  <c r="C19" i="4" s="1"/>
  <c r="C24" i="4" s="1"/>
  <c r="B22" i="8" s="1"/>
  <c r="G5" i="4"/>
  <c r="G6" i="4" s="1"/>
  <c r="G12" i="4" s="1"/>
  <c r="G19" i="4" s="1"/>
  <c r="G24" i="4" s="1"/>
  <c r="F22" i="8" s="1"/>
  <c r="H5" i="4"/>
  <c r="H6" i="4" s="1"/>
  <c r="H12" i="4" s="1"/>
  <c r="H19" i="4" s="1"/>
  <c r="H24" i="4" s="1"/>
  <c r="G22" i="8" s="1"/>
  <c r="I5" i="4"/>
  <c r="I6" i="4" s="1"/>
  <c r="I12" i="4" s="1"/>
  <c r="I19" i="4" s="1"/>
  <c r="I24" i="4" s="1"/>
  <c r="H22" i="8" s="1"/>
  <c r="J5" i="4"/>
  <c r="J6" i="4" s="1"/>
  <c r="J12" i="4" s="1"/>
  <c r="J19" i="4" s="1"/>
  <c r="J24" i="4" s="1"/>
  <c r="I22" i="8" s="1"/>
  <c r="D5" i="2"/>
  <c r="D6" i="2" s="1"/>
  <c r="D12" i="2" s="1"/>
  <c r="E22" i="2"/>
  <c r="D24" i="2"/>
  <c r="E6" i="2"/>
  <c r="E12" i="2" s="1"/>
  <c r="E15" i="2"/>
  <c r="F15" i="2" s="1"/>
  <c r="F17" i="2" s="1"/>
  <c r="C5" i="6"/>
  <c r="C6" i="6" s="1"/>
  <c r="C12" i="6" s="1"/>
  <c r="C23" i="6" s="1"/>
  <c r="C28" i="6" s="1"/>
  <c r="B12" i="8" s="1"/>
  <c r="G5" i="6"/>
  <c r="G6" i="6" s="1"/>
  <c r="G12" i="6" s="1"/>
  <c r="G23" i="6" s="1"/>
  <c r="G28" i="6" s="1"/>
  <c r="F12" i="8" s="1"/>
  <c r="K5" i="6"/>
  <c r="K6" i="6" s="1"/>
  <c r="K12" i="6" s="1"/>
  <c r="K23" i="6" s="1"/>
  <c r="K28" i="6" s="1"/>
  <c r="J12" i="8" s="1"/>
  <c r="C5" i="7"/>
  <c r="C6" i="7" s="1"/>
  <c r="C12" i="7" s="1"/>
  <c r="C23" i="7" s="1"/>
  <c r="C28" i="7" s="1"/>
  <c r="B7" i="8" s="1"/>
  <c r="D5" i="6"/>
  <c r="D6" i="6" s="1"/>
  <c r="D12" i="6" s="1"/>
  <c r="D23" i="6" s="1"/>
  <c r="D28" i="6" s="1"/>
  <c r="C12" i="8" s="1"/>
  <c r="H5" i="6"/>
  <c r="H6" i="6" s="1"/>
  <c r="H12" i="6" s="1"/>
  <c r="H23" i="6" s="1"/>
  <c r="H28" i="6" s="1"/>
  <c r="G12" i="8" s="1"/>
  <c r="L5" i="6"/>
  <c r="L6" i="6" s="1"/>
  <c r="L12" i="6" s="1"/>
  <c r="L23" i="6" s="1"/>
  <c r="L28" i="6" s="1"/>
  <c r="K12" i="8" s="1"/>
  <c r="F5" i="6"/>
  <c r="F6" i="6" s="1"/>
  <c r="F12" i="6" s="1"/>
  <c r="F23" i="6" s="1"/>
  <c r="F28" i="6" s="1"/>
  <c r="E12" i="8" s="1"/>
  <c r="J5" i="6"/>
  <c r="J6" i="6" s="1"/>
  <c r="J12" i="6" s="1"/>
  <c r="J23" i="6" s="1"/>
  <c r="J28" i="6" s="1"/>
  <c r="I12" i="8" s="1"/>
  <c r="E5" i="6"/>
  <c r="E6" i="6" s="1"/>
  <c r="E12" i="6" s="1"/>
  <c r="E23" i="6" s="1"/>
  <c r="E28" i="6" s="1"/>
  <c r="D12" i="8" s="1"/>
  <c r="I5" i="6"/>
  <c r="I6" i="6" s="1"/>
  <c r="I12" i="6" s="1"/>
  <c r="I23" i="6" s="1"/>
  <c r="I28" i="6" s="1"/>
  <c r="H12" i="8" s="1"/>
  <c r="M5" i="6"/>
  <c r="M6" i="6" s="1"/>
  <c r="M12" i="6" s="1"/>
  <c r="M23" i="6" s="1"/>
  <c r="M28" i="6" s="1"/>
  <c r="L12" i="8" s="1"/>
  <c r="E19" i="2"/>
  <c r="C17" i="8"/>
  <c r="C26" i="3"/>
  <c r="E3" i="7"/>
  <c r="E17" i="2" l="1"/>
  <c r="F22" i="2"/>
  <c r="E24" i="2"/>
  <c r="F6" i="2"/>
  <c r="F12" i="2" s="1"/>
  <c r="F3" i="7"/>
  <c r="F19" i="2"/>
  <c r="D17" i="8"/>
  <c r="D5" i="7"/>
  <c r="F24" i="2" l="1"/>
  <c r="E17" i="8" s="1"/>
  <c r="E5" i="7"/>
  <c r="D6" i="7"/>
  <c r="D12" i="7" s="1"/>
  <c r="D23" i="7" s="1"/>
  <c r="D28" i="7" s="1"/>
  <c r="C7" i="8" s="1"/>
  <c r="F5" i="7" l="1"/>
  <c r="F6" i="7" s="1"/>
  <c r="F12" i="7" s="1"/>
  <c r="F23" i="7" s="1"/>
  <c r="F28" i="7" s="1"/>
  <c r="E7" i="8" s="1"/>
  <c r="E6" i="7"/>
  <c r="E12" i="7" s="1"/>
  <c r="E23" i="7" s="1"/>
  <c r="E28" i="7" s="1"/>
  <c r="D7" i="8" s="1"/>
</calcChain>
</file>

<file path=xl/sharedStrings.xml><?xml version="1.0" encoding="utf-8"?>
<sst xmlns="http://schemas.openxmlformats.org/spreadsheetml/2006/main" count="304" uniqueCount="116">
  <si>
    <t>Revenue</t>
  </si>
  <si>
    <t>Net Operating Income</t>
  </si>
  <si>
    <t>Vacancy</t>
  </si>
  <si>
    <t>Credit Loss</t>
  </si>
  <si>
    <t>Net Rental Income</t>
  </si>
  <si>
    <t>Other Income</t>
  </si>
  <si>
    <t>Total Other Income</t>
  </si>
  <si>
    <t>Effective Gross Revenue</t>
  </si>
  <si>
    <t>Expenses</t>
  </si>
  <si>
    <t>Property Taxes</t>
  </si>
  <si>
    <t>Insurance</t>
  </si>
  <si>
    <t>Total Expenses</t>
  </si>
  <si>
    <t>Loan Information</t>
  </si>
  <si>
    <t>Net Cash Flow</t>
  </si>
  <si>
    <t>Gross Potential Rent</t>
  </si>
  <si>
    <t>Sq ft</t>
  </si>
  <si>
    <t>Bedrooms</t>
  </si>
  <si>
    <t>Bathrooms</t>
  </si>
  <si>
    <t>Parking Spaces</t>
  </si>
  <si>
    <t>Calculations</t>
  </si>
  <si>
    <t>Market Rent/Sq Ft</t>
  </si>
  <si>
    <t xml:space="preserve">Gross Potential Rent </t>
  </si>
  <si>
    <t xml:space="preserve">Gross Potential Rent = Market Rent/Sq Ft * Net Leasable Area </t>
  </si>
  <si>
    <t xml:space="preserve">GPR </t>
  </si>
  <si>
    <t>Net Leasble Area</t>
  </si>
  <si>
    <t xml:space="preserve">Vacancy </t>
  </si>
  <si>
    <t xml:space="preserve">GPR Less Vacancy </t>
  </si>
  <si>
    <t xml:space="preserve">Credit Loss </t>
  </si>
  <si>
    <t xml:space="preserve">Market Rent (3 bedroom) </t>
  </si>
  <si>
    <t>Specs</t>
  </si>
  <si>
    <t>Vicinity to Airport (miles)</t>
  </si>
  <si>
    <t>Totals</t>
  </si>
  <si>
    <t xml:space="preserve">General Vacancy = Gross Potential Rent * General Vacancy Factor (%) </t>
  </si>
  <si>
    <t>(General Vacancy)</t>
  </si>
  <si>
    <t>(Credit Loss)</t>
  </si>
  <si>
    <t xml:space="preserve"> </t>
  </si>
  <si>
    <t xml:space="preserve">Credit Loss = Gross Potential Rent * Credit Loss (%) </t>
  </si>
  <si>
    <t xml:space="preserve">GPR Less Credit Loss + Less General Vacancy </t>
  </si>
  <si>
    <t>Total Number of Beds (4 per rm)</t>
  </si>
  <si>
    <t>Month 1</t>
  </si>
  <si>
    <t>Month 2</t>
  </si>
  <si>
    <t>Month 3</t>
  </si>
  <si>
    <t>Month 4</t>
  </si>
  <si>
    <t>Month 5</t>
  </si>
  <si>
    <t>Month 6</t>
  </si>
  <si>
    <t>Month 7</t>
  </si>
  <si>
    <t>Month 8</t>
  </si>
  <si>
    <t>Month 9</t>
  </si>
  <si>
    <t>Month 10</t>
  </si>
  <si>
    <t>Month 11</t>
  </si>
  <si>
    <t>Month 12</t>
  </si>
  <si>
    <t>Year 1</t>
  </si>
  <si>
    <t>Year 2</t>
  </si>
  <si>
    <t>Year 3</t>
  </si>
  <si>
    <t>Year 4</t>
  </si>
  <si>
    <t>Year 5</t>
  </si>
  <si>
    <t xml:space="preserve">Storage Income </t>
  </si>
  <si>
    <t>Market Rent Expected Growth Rate</t>
  </si>
  <si>
    <t xml:space="preserve">Estimated Vacancy Rate </t>
  </si>
  <si>
    <t>Property Tax Rate</t>
  </si>
  <si>
    <t xml:space="preserve">Estimated Rate Increase - Property Tax </t>
  </si>
  <si>
    <t xml:space="preserve">Janitorial Service </t>
  </si>
  <si>
    <t xml:space="preserve">Shuttle Service </t>
  </si>
  <si>
    <t>CP Gross Potential Rent</t>
  </si>
  <si>
    <t>CP Gross Potential Rent = $45 pp/per night * Number of Beds</t>
  </si>
  <si>
    <t xml:space="preserve">CP GPR </t>
  </si>
  <si>
    <t xml:space="preserve">CP Vacancy </t>
  </si>
  <si>
    <t xml:space="preserve">CP Credit Loss </t>
  </si>
  <si>
    <t>Amount per night</t>
  </si>
  <si>
    <t>Number of Beds</t>
  </si>
  <si>
    <t>Number of Nights</t>
  </si>
  <si>
    <t>Key Access Fee (app)</t>
  </si>
  <si>
    <t>Security (On-site)</t>
  </si>
  <si>
    <t>Mortgage Payment</t>
  </si>
  <si>
    <t xml:space="preserve">Mortgage Payment </t>
  </si>
  <si>
    <t>Net Rental  Revenue</t>
  </si>
  <si>
    <t>Column1</t>
  </si>
  <si>
    <t xml:space="preserve">Yearly Property Cash Flow - Rental </t>
  </si>
  <si>
    <t>Yearly Property Cash Flow - Crashpad</t>
  </si>
  <si>
    <t xml:space="preserve">Rental Yearly </t>
  </si>
  <si>
    <t>Rental Monthly</t>
  </si>
  <si>
    <t>CP Yearly</t>
  </si>
  <si>
    <t>CP Monthly</t>
  </si>
  <si>
    <t xml:space="preserve">Month 1 </t>
  </si>
  <si>
    <t xml:space="preserve">Sum of Month 1 </t>
  </si>
  <si>
    <t>Sum of Month 2</t>
  </si>
  <si>
    <t>Sum of Month 3</t>
  </si>
  <si>
    <t>Sum of Month 4</t>
  </si>
  <si>
    <t>Sum of Month 5</t>
  </si>
  <si>
    <t>Sum of Month 6</t>
  </si>
  <si>
    <t>Sum of Month 7</t>
  </si>
  <si>
    <t>Sum of Month 8</t>
  </si>
  <si>
    <t>Sum of Month 9</t>
  </si>
  <si>
    <t>Sum of Month 10</t>
  </si>
  <si>
    <t>Sum of Month 11</t>
  </si>
  <si>
    <t>Sum of Month 12</t>
  </si>
  <si>
    <t>Sum of Year 1</t>
  </si>
  <si>
    <t>Sum of Year 3</t>
  </si>
  <si>
    <t>Sum of Year 2</t>
  </si>
  <si>
    <t>Sum of Year 4</t>
  </si>
  <si>
    <t>Sum of Year 5</t>
  </si>
  <si>
    <t>Show Statement</t>
  </si>
  <si>
    <t>Show Graph</t>
  </si>
  <si>
    <t>Show Statement &amp; Graph</t>
  </si>
  <si>
    <t>Revenue Growth Rate</t>
  </si>
  <si>
    <t>Vacancy Rate</t>
  </si>
  <si>
    <t>$1469.70/month</t>
  </si>
  <si>
    <t xml:space="preserve">Storage </t>
  </si>
  <si>
    <t>$100/month</t>
  </si>
  <si>
    <t>$900/month</t>
  </si>
  <si>
    <t>Mortgage Growth Rate</t>
  </si>
  <si>
    <t>$300/month</t>
  </si>
  <si>
    <t>$200/month</t>
  </si>
  <si>
    <t>$500/month</t>
  </si>
  <si>
    <t>Worksheets("CP vs Rental Dashboard").Range("B6").Value = Worksheets("PCF Yearly Statement").Range("A1:F24").Value</t>
  </si>
  <si>
    <t>Ring Doorbell Application/ Key Access Fee (app)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</si>
</sst>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8" formatCode="&quot;$&quot;#,##0.00_);[Red]\(&quot;$&quot;#,##0.00\)"/>
    <numFmt numFmtId="164" formatCode="&quot;Year&quot;\ 0"/>
    <numFmt numFmtId="165" formatCode="&quot;$&quot;#,##0.00"/>
    <numFmt numFmtId="166" formatCode="0.0%"/>
    <numFmt numFmtId="167" formatCode="&quot;$&quot;#,##0,\k"/>
    <numFmt numFmtId="168" formatCode="&quot;$&quot;#,##0.#,\k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Franklin Gothic Book"/>
      <family val="2"/>
    </font>
    <font>
      <sz val="10"/>
      <color theme="1"/>
      <name val="Franklin Gothic Book"/>
      <family val="2"/>
    </font>
    <font>
      <b/>
      <u/>
      <sz val="10"/>
      <color theme="0"/>
      <name val="Franklin Gothic Book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name val="Franklin Gothic Book"/>
      <family val="2"/>
    </font>
    <font>
      <b/>
      <u/>
      <sz val="12"/>
      <color theme="0"/>
      <name val="Franklin Gothic Book"/>
      <family val="2"/>
    </font>
    <font>
      <u/>
      <sz val="12"/>
      <color rgb="FF0070C0"/>
      <name val="Franklin Gothic Book"/>
      <family val="2"/>
    </font>
    <font>
      <b/>
      <u/>
      <sz val="12"/>
      <color rgb="FF0070C0"/>
      <name val="Franklin Gothic Book"/>
      <family val="2"/>
    </font>
    <font>
      <u/>
      <sz val="12"/>
      <color theme="4" tint="-0.499984740745262"/>
      <name val="Franklin Gothic Book"/>
      <family val="2"/>
    </font>
    <font>
      <b/>
      <u/>
      <sz val="12"/>
      <color theme="4" tint="-0.499984740745262"/>
      <name val="Franklin Gothic Book"/>
      <family val="2"/>
    </font>
    <font>
      <b/>
      <sz val="12"/>
      <color theme="1"/>
      <name val="Franklin Gothic Book"/>
      <family val="2"/>
    </font>
    <font>
      <sz val="12"/>
      <color indexed="12"/>
      <name val="Franklin Gothic Book"/>
      <family val="2"/>
    </font>
    <font>
      <sz val="12"/>
      <color theme="1"/>
      <name val="Franklin Gothic Book"/>
      <family val="2"/>
    </font>
    <font>
      <sz val="11"/>
      <color theme="1"/>
      <name val="Franklin Gothic Book"/>
      <family val="2"/>
    </font>
    <font>
      <u/>
      <sz val="12"/>
      <color theme="8" tint="-0.249977111117893"/>
      <name val="Franklin Gothic Book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B98DA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8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auto="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auto="1"/>
      </top>
      <bottom style="thin">
        <color theme="6" tint="0.39997558519241921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auto="1"/>
      </right>
      <top style="thin">
        <color auto="1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ck">
        <color theme="0"/>
      </bottom>
      <diagonal/>
    </border>
    <border>
      <left style="thin">
        <color theme="0"/>
      </left>
      <right/>
      <top style="thin">
        <color auto="1"/>
      </top>
      <bottom style="thick">
        <color theme="0"/>
      </bottom>
      <diagonal/>
    </border>
  </borders>
  <cellStyleXfs count="27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13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3" xfId="0" applyBorder="1"/>
    <xf numFmtId="0" fontId="0" fillId="0" borderId="1" xfId="0" applyBorder="1"/>
    <xf numFmtId="0" fontId="0" fillId="0" borderId="0" xfId="0" applyAlignment="1">
      <alignment wrapText="1"/>
    </xf>
    <xf numFmtId="165" fontId="0" fillId="0" borderId="0" xfId="0" applyNumberFormat="1"/>
    <xf numFmtId="0" fontId="0" fillId="0" borderId="2" xfId="0" applyBorder="1"/>
    <xf numFmtId="165" fontId="0" fillId="0" borderId="2" xfId="0" applyNumberFormat="1" applyBorder="1"/>
    <xf numFmtId="0" fontId="6" fillId="4" borderId="5" xfId="0" applyFont="1" applyFill="1" applyBorder="1"/>
    <xf numFmtId="165" fontId="0" fillId="0" borderId="1" xfId="0" applyNumberFormat="1" applyBorder="1"/>
    <xf numFmtId="8" fontId="0" fillId="0" borderId="2" xfId="0" applyNumberFormat="1" applyBorder="1"/>
    <xf numFmtId="0" fontId="5" fillId="0" borderId="2" xfId="0" applyFont="1" applyBorder="1"/>
    <xf numFmtId="9" fontId="7" fillId="0" borderId="0" xfId="0" applyNumberFormat="1" applyFont="1"/>
    <xf numFmtId="9" fontId="7" fillId="0" borderId="2" xfId="0" applyNumberFormat="1" applyFont="1" applyBorder="1"/>
    <xf numFmtId="8" fontId="0" fillId="0" borderId="0" xfId="0" applyNumberFormat="1"/>
    <xf numFmtId="0" fontId="0" fillId="0" borderId="2" xfId="0" applyBorder="1" applyAlignment="1"/>
    <xf numFmtId="9" fontId="0" fillId="0" borderId="2" xfId="0" applyNumberFormat="1" applyBorder="1"/>
    <xf numFmtId="166" fontId="0" fillId="0" borderId="2" xfId="0" applyNumberFormat="1" applyBorder="1"/>
    <xf numFmtId="0" fontId="0" fillId="0" borderId="2" xfId="0" applyFill="1" applyBorder="1"/>
    <xf numFmtId="0" fontId="0" fillId="0" borderId="0" xfId="0" applyBorder="1"/>
    <xf numFmtId="165" fontId="0" fillId="0" borderId="0" xfId="0" applyNumberFormat="1" applyBorder="1"/>
    <xf numFmtId="0" fontId="6" fillId="6" borderId="0" xfId="0" applyFont="1" applyFill="1" applyBorder="1"/>
    <xf numFmtId="0" fontId="0" fillId="0" borderId="0" xfId="0" applyNumberFormat="1"/>
    <xf numFmtId="0" fontId="0" fillId="0" borderId="0" xfId="0" applyAlignment="1"/>
    <xf numFmtId="0" fontId="10" fillId="0" borderId="0" xfId="0" applyFont="1" applyFill="1" applyAlignment="1"/>
    <xf numFmtId="164" fontId="4" fillId="2" borderId="10" xfId="0" applyNumberFormat="1" applyFont="1" applyFill="1" applyBorder="1" applyAlignment="1">
      <alignment horizontal="center"/>
    </xf>
    <xf numFmtId="164" fontId="4" fillId="2" borderId="11" xfId="0" applyNumberFormat="1" applyFont="1" applyFill="1" applyBorder="1" applyAlignment="1">
      <alignment horizontal="center"/>
    </xf>
    <xf numFmtId="167" fontId="0" fillId="0" borderId="0" xfId="0" applyNumberFormat="1"/>
    <xf numFmtId="165" fontId="0" fillId="0" borderId="0" xfId="0" applyNumberFormat="1" applyFont="1" applyFill="1" applyBorder="1"/>
    <xf numFmtId="168" fontId="0" fillId="8" borderId="9" xfId="0" applyNumberFormat="1" applyFont="1" applyFill="1" applyBorder="1"/>
    <xf numFmtId="168" fontId="0" fillId="0" borderId="0" xfId="0" applyNumberFormat="1"/>
    <xf numFmtId="164" fontId="11" fillId="9" borderId="10" xfId="0" applyNumberFormat="1" applyFont="1" applyFill="1" applyBorder="1" applyAlignment="1">
      <alignment horizontal="center"/>
    </xf>
    <xf numFmtId="164" fontId="11" fillId="9" borderId="11" xfId="0" applyNumberFormat="1" applyFont="1" applyFill="1" applyBorder="1" applyAlignment="1">
      <alignment horizontal="center"/>
    </xf>
    <xf numFmtId="0" fontId="0" fillId="0" borderId="0" xfId="0" quotePrefix="1"/>
    <xf numFmtId="164" fontId="4" fillId="10" borderId="0" xfId="0" applyNumberFormat="1" applyFont="1" applyFill="1" applyBorder="1" applyAlignment="1">
      <alignment horizontal="center"/>
    </xf>
    <xf numFmtId="0" fontId="2" fillId="11" borderId="3" xfId="0" applyFont="1" applyFill="1" applyBorder="1" applyAlignment="1">
      <alignment horizontal="right"/>
    </xf>
    <xf numFmtId="0" fontId="3" fillId="11" borderId="8" xfId="0" applyFont="1" applyFill="1" applyBorder="1" applyAlignment="1">
      <alignment horizontal="right"/>
    </xf>
    <xf numFmtId="0" fontId="2" fillId="11" borderId="8" xfId="0" applyFont="1" applyFill="1" applyBorder="1" applyAlignment="1">
      <alignment horizontal="right"/>
    </xf>
    <xf numFmtId="0" fontId="2" fillId="11" borderId="4" xfId="0" applyFont="1" applyFill="1" applyBorder="1" applyAlignment="1">
      <alignment horizontal="right"/>
    </xf>
    <xf numFmtId="0" fontId="10" fillId="6" borderId="0" xfId="0" applyFont="1" applyFill="1" applyAlignment="1"/>
    <xf numFmtId="0" fontId="13" fillId="10" borderId="0" xfId="0" applyFont="1" applyFill="1" applyBorder="1"/>
    <xf numFmtId="0" fontId="15" fillId="2" borderId="0" xfId="0" applyFont="1" applyFill="1" applyBorder="1"/>
    <xf numFmtId="0" fontId="17" fillId="0" borderId="0" xfId="0" applyFont="1" applyFill="1" applyBorder="1" applyAlignment="1">
      <alignment horizontal="right"/>
    </xf>
    <xf numFmtId="9" fontId="18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8" fontId="0" fillId="0" borderId="0" xfId="0" applyNumberFormat="1" applyFill="1" applyBorder="1"/>
    <xf numFmtId="9" fontId="19" fillId="0" borderId="3" xfId="0" applyNumberFormat="1" applyFont="1" applyBorder="1" applyAlignment="1">
      <alignment horizontal="right"/>
    </xf>
    <xf numFmtId="9" fontId="19" fillId="0" borderId="8" xfId="0" applyNumberFormat="1" applyFont="1" applyBorder="1" applyAlignment="1">
      <alignment horizontal="right"/>
    </xf>
    <xf numFmtId="0" fontId="17" fillId="11" borderId="1" xfId="0" applyFont="1" applyFill="1" applyBorder="1" applyAlignment="1">
      <alignment horizontal="right"/>
    </xf>
    <xf numFmtId="0" fontId="17" fillId="11" borderId="12" xfId="0" applyFont="1" applyFill="1" applyBorder="1" applyAlignment="1">
      <alignment horizontal="right"/>
    </xf>
    <xf numFmtId="8" fontId="19" fillId="0" borderId="8" xfId="0" applyNumberFormat="1" applyFont="1" applyFill="1" applyBorder="1" applyAlignment="1">
      <alignment horizontal="right"/>
    </xf>
    <xf numFmtId="9" fontId="19" fillId="0" borderId="8" xfId="0" applyNumberFormat="1" applyFont="1" applyFill="1" applyBorder="1" applyAlignment="1">
      <alignment horizontal="right"/>
    </xf>
    <xf numFmtId="0" fontId="20" fillId="0" borderId="0" xfId="0" applyFont="1"/>
    <xf numFmtId="165" fontId="20" fillId="0" borderId="0" xfId="0" applyNumberFormat="1" applyFont="1"/>
    <xf numFmtId="8" fontId="20" fillId="0" borderId="0" xfId="0" applyNumberFormat="1" applyFont="1"/>
    <xf numFmtId="165" fontId="17" fillId="11" borderId="7" xfId="0" applyNumberFormat="1" applyFont="1" applyFill="1" applyBorder="1" applyAlignment="1">
      <alignment horizontal="right"/>
    </xf>
    <xf numFmtId="9" fontId="20" fillId="0" borderId="6" xfId="0" applyNumberFormat="1" applyFont="1" applyFill="1" applyBorder="1"/>
    <xf numFmtId="165" fontId="19" fillId="0" borderId="8" xfId="0" applyNumberFormat="1" applyFont="1" applyFill="1" applyBorder="1" applyAlignment="1">
      <alignment horizontal="right"/>
    </xf>
    <xf numFmtId="0" fontId="17" fillId="3" borderId="1" xfId="0" applyFont="1" applyFill="1" applyBorder="1" applyAlignment="1">
      <alignment horizontal="right"/>
    </xf>
    <xf numFmtId="0" fontId="17" fillId="3" borderId="12" xfId="0" applyFont="1" applyFill="1" applyBorder="1" applyAlignment="1">
      <alignment horizontal="right"/>
    </xf>
    <xf numFmtId="165" fontId="17" fillId="3" borderId="7" xfId="0" applyNumberFormat="1" applyFont="1" applyFill="1" applyBorder="1" applyAlignment="1">
      <alignment horizontal="right"/>
    </xf>
    <xf numFmtId="0" fontId="17" fillId="3" borderId="22" xfId="0" applyFont="1" applyFill="1" applyBorder="1" applyAlignment="1">
      <alignment horizontal="right"/>
    </xf>
    <xf numFmtId="0" fontId="19" fillId="12" borderId="15" xfId="0" applyFont="1" applyFill="1" applyBorder="1"/>
    <xf numFmtId="0" fontId="19" fillId="12" borderId="16" xfId="0" applyFont="1" applyFill="1" applyBorder="1"/>
    <xf numFmtId="165" fontId="19" fillId="13" borderId="15" xfId="0" applyNumberFormat="1" applyFont="1" applyFill="1" applyBorder="1"/>
    <xf numFmtId="165" fontId="19" fillId="13" borderId="16" xfId="0" applyNumberFormat="1" applyFont="1" applyFill="1" applyBorder="1"/>
    <xf numFmtId="8" fontId="19" fillId="12" borderId="15" xfId="0" applyNumberFormat="1" applyFont="1" applyFill="1" applyBorder="1"/>
    <xf numFmtId="8" fontId="19" fillId="12" borderId="16" xfId="0" applyNumberFormat="1" applyFont="1" applyFill="1" applyBorder="1"/>
    <xf numFmtId="8" fontId="19" fillId="13" borderId="15" xfId="0" applyNumberFormat="1" applyFont="1" applyFill="1" applyBorder="1"/>
    <xf numFmtId="8" fontId="19" fillId="13" borderId="16" xfId="0" applyNumberFormat="1" applyFont="1" applyFill="1" applyBorder="1"/>
    <xf numFmtId="165" fontId="19" fillId="12" borderId="15" xfId="0" applyNumberFormat="1" applyFont="1" applyFill="1" applyBorder="1"/>
    <xf numFmtId="165" fontId="19" fillId="12" borderId="16" xfId="0" applyNumberFormat="1" applyFont="1" applyFill="1" applyBorder="1"/>
    <xf numFmtId="0" fontId="19" fillId="13" borderId="15" xfId="0" applyFont="1" applyFill="1" applyBorder="1"/>
    <xf numFmtId="0" fontId="19" fillId="13" borderId="16" xfId="0" applyFont="1" applyFill="1" applyBorder="1"/>
    <xf numFmtId="8" fontId="19" fillId="12" borderId="17" xfId="0" applyNumberFormat="1" applyFont="1" applyFill="1" applyBorder="1"/>
    <xf numFmtId="8" fontId="19" fillId="12" borderId="18" xfId="0" applyNumberFormat="1" applyFont="1" applyFill="1" applyBorder="1"/>
    <xf numFmtId="0" fontId="1" fillId="15" borderId="15" xfId="0" applyFont="1" applyFill="1" applyBorder="1"/>
    <xf numFmtId="0" fontId="1" fillId="15" borderId="16" xfId="0" applyFont="1" applyFill="1" applyBorder="1"/>
    <xf numFmtId="164" fontId="4" fillId="16" borderId="0" xfId="0" applyNumberFormat="1" applyFont="1" applyFill="1" applyBorder="1" applyAlignment="1">
      <alignment horizontal="center"/>
    </xf>
    <xf numFmtId="0" fontId="21" fillId="16" borderId="0" xfId="0" applyFont="1" applyFill="1" applyBorder="1"/>
    <xf numFmtId="0" fontId="16" fillId="2" borderId="19" xfId="0" applyFont="1" applyFill="1" applyBorder="1"/>
    <xf numFmtId="0" fontId="17" fillId="11" borderId="4" xfId="0" applyFont="1" applyFill="1" applyBorder="1" applyAlignment="1">
      <alignment horizontal="right"/>
    </xf>
    <xf numFmtId="0" fontId="17" fillId="3" borderId="20" xfId="0" applyFont="1" applyFill="1" applyBorder="1" applyAlignment="1">
      <alignment horizontal="right"/>
    </xf>
    <xf numFmtId="0" fontId="19" fillId="3" borderId="21" xfId="0" applyFont="1" applyFill="1" applyBorder="1" applyAlignment="1">
      <alignment horizontal="right"/>
    </xf>
    <xf numFmtId="0" fontId="17" fillId="3" borderId="21" xfId="0" applyFont="1" applyFill="1" applyBorder="1" applyAlignment="1">
      <alignment horizontal="right"/>
    </xf>
    <xf numFmtId="0" fontId="17" fillId="3" borderId="4" xfId="0" applyFont="1" applyFill="1" applyBorder="1" applyAlignment="1">
      <alignment horizontal="right"/>
    </xf>
    <xf numFmtId="164" fontId="12" fillId="2" borderId="13" xfId="0" applyNumberFormat="1" applyFont="1" applyFill="1" applyBorder="1" applyAlignment="1">
      <alignment horizontal="center"/>
    </xf>
    <xf numFmtId="164" fontId="12" fillId="2" borderId="14" xfId="0" applyNumberFormat="1" applyFont="1" applyFill="1" applyBorder="1" applyAlignment="1">
      <alignment horizontal="center"/>
    </xf>
    <xf numFmtId="165" fontId="19" fillId="14" borderId="15" xfId="0" applyNumberFormat="1" applyFont="1" applyFill="1" applyBorder="1"/>
    <xf numFmtId="165" fontId="19" fillId="14" borderId="16" xfId="0" applyNumberFormat="1" applyFont="1" applyFill="1" applyBorder="1"/>
    <xf numFmtId="0" fontId="19" fillId="15" borderId="15" xfId="0" applyFont="1" applyFill="1" applyBorder="1"/>
    <xf numFmtId="8" fontId="19" fillId="15" borderId="15" xfId="0" applyNumberFormat="1" applyFont="1" applyFill="1" applyBorder="1"/>
    <xf numFmtId="8" fontId="19" fillId="15" borderId="16" xfId="0" applyNumberFormat="1" applyFont="1" applyFill="1" applyBorder="1"/>
    <xf numFmtId="0" fontId="19" fillId="14" borderId="15" xfId="0" applyFont="1" applyFill="1" applyBorder="1"/>
    <xf numFmtId="8" fontId="19" fillId="14" borderId="15" xfId="0" applyNumberFormat="1" applyFont="1" applyFill="1" applyBorder="1"/>
    <xf numFmtId="8" fontId="19" fillId="14" borderId="16" xfId="0" applyNumberFormat="1" applyFont="1" applyFill="1" applyBorder="1"/>
    <xf numFmtId="165" fontId="19" fillId="15" borderId="15" xfId="0" applyNumberFormat="1" applyFont="1" applyFill="1" applyBorder="1"/>
    <xf numFmtId="165" fontId="19" fillId="15" borderId="16" xfId="0" applyNumberFormat="1" applyFont="1" applyFill="1" applyBorder="1"/>
    <xf numFmtId="0" fontId="19" fillId="14" borderId="16" xfId="0" applyFont="1" applyFill="1" applyBorder="1"/>
    <xf numFmtId="0" fontId="19" fillId="15" borderId="16" xfId="0" applyFont="1" applyFill="1" applyBorder="1"/>
    <xf numFmtId="165" fontId="19" fillId="14" borderId="15" xfId="0" applyNumberFormat="1" applyFont="1" applyFill="1" applyBorder="1" applyAlignment="1">
      <alignment horizontal="right"/>
    </xf>
    <xf numFmtId="165" fontId="19" fillId="15" borderId="17" xfId="0" applyNumberFormat="1" applyFont="1" applyFill="1" applyBorder="1"/>
    <xf numFmtId="165" fontId="19" fillId="15" borderId="18" xfId="0" applyNumberFormat="1" applyFont="1" applyFill="1" applyBorder="1"/>
    <xf numFmtId="164" fontId="12" fillId="2" borderId="0" xfId="0" applyNumberFormat="1" applyFont="1" applyFill="1" applyBorder="1" applyAlignment="1">
      <alignment horizontal="center"/>
    </xf>
    <xf numFmtId="0" fontId="17" fillId="3" borderId="3" xfId="0" applyFont="1" applyFill="1" applyBorder="1" applyAlignment="1">
      <alignment horizontal="right"/>
    </xf>
    <xf numFmtId="0" fontId="1" fillId="0" borderId="0" xfId="0" applyFont="1"/>
    <xf numFmtId="0" fontId="19" fillId="3" borderId="8" xfId="0" applyFont="1" applyFill="1" applyBorder="1" applyAlignment="1">
      <alignment horizontal="right"/>
    </xf>
    <xf numFmtId="0" fontId="17" fillId="3" borderId="8" xfId="0" applyFont="1" applyFill="1" applyBorder="1" applyAlignment="1">
      <alignment horizontal="right"/>
    </xf>
    <xf numFmtId="165" fontId="19" fillId="0" borderId="0" xfId="0" applyNumberFormat="1" applyFont="1"/>
    <xf numFmtId="0" fontId="19" fillId="0" borderId="0" xfId="0" applyFont="1"/>
    <xf numFmtId="8" fontId="19" fillId="0" borderId="0" xfId="0" applyNumberFormat="1" applyFont="1"/>
    <xf numFmtId="165" fontId="19" fillId="0" borderId="0" xfId="0" applyNumberFormat="1" applyFont="1" applyAlignment="1">
      <alignment horizontal="right"/>
    </xf>
    <xf numFmtId="0" fontId="14" fillId="10" borderId="25" xfId="0" applyFont="1" applyFill="1" applyBorder="1"/>
    <xf numFmtId="0" fontId="17" fillId="11" borderId="3" xfId="0" applyFont="1" applyFill="1" applyBorder="1" applyAlignment="1">
      <alignment horizontal="right"/>
    </xf>
    <xf numFmtId="0" fontId="19" fillId="11" borderId="8" xfId="0" applyFont="1" applyFill="1" applyBorder="1" applyAlignment="1">
      <alignment horizontal="right"/>
    </xf>
    <xf numFmtId="8" fontId="19" fillId="0" borderId="0" xfId="0" applyNumberFormat="1" applyFont="1" applyAlignment="1">
      <alignment horizontal="right"/>
    </xf>
    <xf numFmtId="0" fontId="17" fillId="11" borderId="8" xfId="0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6" fontId="19" fillId="0" borderId="0" xfId="0" applyNumberFormat="1" applyFont="1" applyAlignment="1">
      <alignment horizontal="right"/>
    </xf>
    <xf numFmtId="164" fontId="12" fillId="10" borderId="26" xfId="0" applyNumberFormat="1" applyFont="1" applyFill="1" applyBorder="1" applyAlignment="1">
      <alignment horizontal="center"/>
    </xf>
    <xf numFmtId="164" fontId="12" fillId="10" borderId="27" xfId="0" applyNumberFormat="1" applyFont="1" applyFill="1" applyBorder="1" applyAlignment="1">
      <alignment horizontal="center"/>
    </xf>
    <xf numFmtId="0" fontId="17" fillId="11" borderId="23" xfId="0" applyFont="1" applyFill="1" applyBorder="1" applyAlignment="1">
      <alignment horizontal="right"/>
    </xf>
    <xf numFmtId="0" fontId="19" fillId="11" borderId="24" xfId="0" applyFont="1" applyFill="1" applyBorder="1" applyAlignment="1">
      <alignment horizontal="right"/>
    </xf>
    <xf numFmtId="0" fontId="17" fillId="11" borderId="24" xfId="0" applyFont="1" applyFill="1" applyBorder="1" applyAlignment="1">
      <alignment horizontal="right"/>
    </xf>
    <xf numFmtId="0" fontId="17" fillId="11" borderId="2" xfId="0" applyFont="1" applyFill="1" applyBorder="1" applyAlignment="1">
      <alignment horizontal="right"/>
    </xf>
    <xf numFmtId="0" fontId="6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0" fillId="7" borderId="0" xfId="0" applyFont="1" applyFill="1" applyAlignment="1">
      <alignment horizontal="center"/>
    </xf>
    <xf numFmtId="0" fontId="10" fillId="9" borderId="0" xfId="0" applyFont="1" applyFill="1" applyAlignment="1">
      <alignment horizontal="center"/>
    </xf>
  </cellXfs>
  <cellStyles count="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Normal" xfId="0" builtinId="0"/>
  </cellStyles>
  <dxfs count="59">
    <dxf>
      <border outline="0">
        <left style="thin">
          <color auto="1"/>
        </left>
        <top style="thin">
          <color auto="1"/>
        </top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0"/>
        <name val="Franklin Gothic Book"/>
        <scheme val="none"/>
      </font>
      <numFmt numFmtId="164" formatCode="&quot;Year&quot;\ 0"/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border outline="0">
        <left style="thin">
          <color auto="1"/>
        </left>
        <top style="thin">
          <color auto="1"/>
        </top>
      </border>
    </dxf>
    <dxf>
      <font>
        <strike val="0"/>
        <outline val="0"/>
        <shadow val="0"/>
        <vertAlign val="baseline"/>
        <sz val="12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0"/>
        <name val="Franklin Gothic Book"/>
        <scheme val="none"/>
      </font>
      <numFmt numFmtId="164" formatCode="&quot;Year&quot;\ 0"/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border outline="0">
        <left style="thin">
          <color auto="1"/>
        </left>
        <top style="thin">
          <color auto="1"/>
        </top>
      </border>
    </dxf>
    <dxf>
      <font>
        <strike val="0"/>
        <outline val="0"/>
        <shadow val="0"/>
        <vertAlign val="baseline"/>
        <sz val="12"/>
        <name val="Franklin Gothic Book"/>
        <scheme val="none"/>
      </font>
      <numFmt numFmtId="164" formatCode="&quot;Year&quot;\ 0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0"/>
        <name val="Franklin Gothic Book"/>
        <scheme val="none"/>
      </font>
      <numFmt numFmtId="164" formatCode="&quot;Year&quot;\ 0"/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  <border outline="0">
        <left style="thin">
          <color auto="1"/>
        </left>
      </border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  <fill>
        <patternFill patternType="solid">
          <fgColor indexed="64"/>
          <bgColor theme="8" tint="0.79998168889431442"/>
        </patternFill>
      </fill>
    </dxf>
    <dxf>
      <border outline="0">
        <left style="thin">
          <color auto="1"/>
        </left>
        <top style="thin">
          <color auto="1"/>
        </top>
      </border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theme="0"/>
        <name val="Franklin Gothic Book"/>
        <scheme val="none"/>
      </font>
      <numFmt numFmtId="164" formatCode="&quot;Year&quot;\ 0"/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</dxf>
    <dxf>
      <border outline="0">
        <left style="thin">
          <color auto="1"/>
        </left>
        <top style="thin">
          <color auto="1"/>
        </top>
      </border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theme="0"/>
        <name val="Franklin Gothic Book"/>
        <scheme val="none"/>
      </font>
      <numFmt numFmtId="164" formatCode="&quot;Year&quot;\ 0"/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408DFE"/>
      <color rgb="FFCB98DA"/>
      <color rgb="FF967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[Crashpad_Rental_Acquisition.xlsm]CP vs Rental PT Data!PivotTable5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'CP vs Rental PT Data'!$A$30</c:f>
              <c:strCache>
                <c:ptCount val="1"/>
                <c:pt idx="0">
                  <c:v>Sum of Year 1</c:v>
                </c:pt>
              </c:strCache>
            </c:strRef>
          </c:tx>
          <c:spPr>
            <a:solidFill>
              <a:schemeClr val="accent1">
                <a:shade val="53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Data'!$A$31</c:f>
              <c:numCache>
                <c:formatCode>"$"#,##0.#,\k</c:formatCode>
                <c:ptCount val="1"/>
                <c:pt idx="0">
                  <c:v>67100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D4-DB42-9D8F-6BCB2EDD3D8C}"/>
            </c:ext>
          </c:extLst>
        </c:ser>
        <c:ser>
          <c:idx val="1"/>
          <c:order val="1"/>
          <c:tx>
            <c:strRef>
              <c:f>'CP vs Rental PT Data'!$B$30</c:f>
              <c:strCache>
                <c:ptCount val="1"/>
                <c:pt idx="0">
                  <c:v>Sum of Year 2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Data'!$B$31</c:f>
              <c:numCache>
                <c:formatCode>"$"#,##0.#,\k</c:formatCode>
                <c:ptCount val="1"/>
                <c:pt idx="0">
                  <c:v>57839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D4-DB42-9D8F-6BCB2EDD3D8C}"/>
            </c:ext>
          </c:extLst>
        </c:ser>
        <c:ser>
          <c:idx val="2"/>
          <c:order val="2"/>
          <c:tx>
            <c:strRef>
              <c:f>'CP vs Rental PT Data'!$C$30</c:f>
              <c:strCache>
                <c:ptCount val="1"/>
                <c:pt idx="0">
                  <c:v>Sum of Year 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'CP vs Rental PT Data'!$A$31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Data'!$C$31</c:f>
              <c:numCache>
                <c:formatCode>"$"#,##0.#,\k</c:formatCode>
                <c:ptCount val="1"/>
                <c:pt idx="0">
                  <c:v>62815.50499999999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D4-DB42-9D8F-6BCB2EDD3D8C}"/>
            </c:ext>
          </c:extLst>
        </c:ser>
        <c:ser>
          <c:idx val="3"/>
          <c:order val="3"/>
          <c:tx>
            <c:strRef>
              <c:f>'CP vs Rental PT Data'!$D$30</c:f>
              <c:strCache>
                <c:ptCount val="1"/>
                <c:pt idx="0">
                  <c:v>Sum of Year 4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Data'!$D$31</c:f>
              <c:numCache>
                <c:formatCode>"$"#,##0.#,\k</c:formatCode>
                <c:ptCount val="1"/>
                <c:pt idx="0">
                  <c:v>68046.887300000002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D4-DB42-9D8F-6BCB2EDD3D8C}"/>
            </c:ext>
          </c:extLst>
        </c:ser>
        <c:ser>
          <c:idx val="4"/>
          <c:order val="4"/>
          <c:tx>
            <c:strRef>
              <c:f>'CP vs Rental PT Data'!$E$30</c:f>
              <c:strCache>
                <c:ptCount val="1"/>
                <c:pt idx="0">
                  <c:v>Sum of Year 5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Data'!$E$31</c:f>
              <c:numCache>
                <c:formatCode>"$"#,##0.#,\k</c:formatCode>
                <c:ptCount val="1"/>
                <c:pt idx="0">
                  <c:v>73545.901672999986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D4-DB42-9D8F-6BCB2EDD3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382352"/>
        <c:axId val="411377256"/>
      </c:barChart>
      <c:catAx>
        <c:axId val="411382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77256"/>
        <c:crosses val="autoZero"/>
        <c:auto val="1"/>
        <c:lblAlgn val="ctr"/>
        <c:lblOffset val="100"/>
        <c:noMultiLvlLbl val="0"/>
      </c:catAx>
      <c:valAx>
        <c:axId val="41137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#,\k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8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[Crashpad_Rental_Acquisition.xlsm]CP vs Rental PT Data!PivotTable2</c:name>
    <c:fmtId val="3"/>
  </c:pivotSource>
  <c:chart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'CP vs Rental PT Data'!$A$34</c:f>
              <c:strCache>
                <c:ptCount val="1"/>
                <c:pt idx="0">
                  <c:v>Sum of Year 1</c:v>
                </c:pt>
              </c:strCache>
            </c:strRef>
          </c:tx>
          <c:spPr>
            <a:solidFill>
              <a:schemeClr val="accent5">
                <a:shade val="53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Data'!$A$35</c:f>
              <c:numCache>
                <c:formatCode>"$"#,##0.#,\k</c:formatCode>
                <c:ptCount val="1"/>
                <c:pt idx="0">
                  <c:v>-4336.4000000000015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86-2144-9C99-9F03F77C5936}"/>
            </c:ext>
          </c:extLst>
        </c:ser>
        <c:ser>
          <c:idx val="1"/>
          <c:order val="1"/>
          <c:tx>
            <c:strRef>
              <c:f>'CP vs Rental PT Data'!$B$34</c:f>
              <c:strCache>
                <c:ptCount val="1"/>
                <c:pt idx="0">
                  <c:v>Sum of Year 2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Data'!$B$35</c:f>
              <c:numCache>
                <c:formatCode>"$"#,##0.#,\k</c:formatCode>
                <c:ptCount val="1"/>
                <c:pt idx="0">
                  <c:v>-4985.2200000000012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86-2144-9C99-9F03F77C5936}"/>
            </c:ext>
          </c:extLst>
        </c:ser>
        <c:ser>
          <c:idx val="2"/>
          <c:order val="2"/>
          <c:tx>
            <c:strRef>
              <c:f>'CP vs Rental PT Data'!$C$34</c:f>
              <c:strCache>
                <c:ptCount val="1"/>
                <c:pt idx="0">
                  <c:v>Sum of Year 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'CP vs Rental PT Data'!$A$35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Data'!$C$35</c:f>
              <c:numCache>
                <c:formatCode>"$"#,##0.#,\k</c:formatCode>
                <c:ptCount val="1"/>
                <c:pt idx="0">
                  <c:v>-5670.8010000000013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86-2144-9C99-9F03F77C5936}"/>
            </c:ext>
          </c:extLst>
        </c:ser>
        <c:ser>
          <c:idx val="3"/>
          <c:order val="3"/>
          <c:tx>
            <c:strRef>
              <c:f>'CP vs Rental PT Data'!$D$34</c:f>
              <c:strCache>
                <c:ptCount val="1"/>
                <c:pt idx="0">
                  <c:v>Sum of Year 4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Data'!$D$35</c:f>
              <c:numCache>
                <c:formatCode>"$"#,##0.#,\k</c:formatCode>
                <c:ptCount val="1"/>
                <c:pt idx="0">
                  <c:v>-6395.0242500000004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86-2144-9C99-9F03F77C5936}"/>
            </c:ext>
          </c:extLst>
        </c:ser>
        <c:ser>
          <c:idx val="4"/>
          <c:order val="4"/>
          <c:tx>
            <c:strRef>
              <c:f>'CP vs Rental PT Data'!$E$34</c:f>
              <c:strCache>
                <c:ptCount val="1"/>
                <c:pt idx="0">
                  <c:v>Sum of Year 5</c:v>
                </c:pt>
              </c:strCache>
            </c:strRef>
          </c:tx>
          <c:spPr>
            <a:solidFill>
              <a:schemeClr val="accent5">
                <a:tint val="54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Data'!$E$35</c:f>
              <c:numCache>
                <c:formatCode>"$"#,##0.#,\k</c:formatCode>
                <c:ptCount val="1"/>
                <c:pt idx="0">
                  <c:v>-7159.8654945000017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86-2144-9C99-9F03F77C5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380000"/>
        <c:axId val="411380392"/>
      </c:barChart>
      <c:catAx>
        <c:axId val="41138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80392"/>
        <c:crosses val="autoZero"/>
        <c:auto val="1"/>
        <c:lblAlgn val="ctr"/>
        <c:lblOffset val="100"/>
        <c:noMultiLvlLbl val="0"/>
      </c:catAx>
      <c:valAx>
        <c:axId val="411380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#,\k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8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860424</xdr:colOff>
      <xdr:row>33</xdr:row>
      <xdr:rowOff>15875</xdr:rowOff>
    </xdr:from>
    <xdr:to>
      <xdr:col>15</xdr:col>
      <xdr:colOff>12699</xdr:colOff>
      <xdr:row>55</xdr:row>
      <xdr:rowOff>25400</xdr:rowOff>
    </xdr:to>
    <xdr:graphicFrame macro="">
      <xdr:nvGraphicFramePr>
        <xdr:cNvPr id="6" name="CPYearlyChart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5291</xdr:colOff>
      <xdr:row>29</xdr:row>
      <xdr:rowOff>76200</xdr:rowOff>
    </xdr:from>
    <xdr:to>
      <xdr:col>6</xdr:col>
      <xdr:colOff>1015999</xdr:colOff>
      <xdr:row>54</xdr:row>
      <xdr:rowOff>88900</xdr:rowOff>
    </xdr:to>
    <xdr:graphicFrame macro="">
      <xdr:nvGraphicFramePr>
        <xdr:cNvPr id="3" name="RentalYearlyChart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ron" refreshedDate="43247.716901157408" createdVersion="5" refreshedVersion="5" minRefreshableVersion="3" recordCount="1" xr:uid="{00000000-000A-0000-FFFF-FFFF00000000}">
  <cacheSource type="worksheet">
    <worksheetSource ref="A11:L12" sheet="CP vs Rental PT Data"/>
  </cacheSource>
  <cacheFields count="12">
    <cacheField name="Month 1 " numFmtId="168">
      <sharedItems containsSemiMixedTypes="0" containsString="0" containsNumber="1" minValue="5591.666666666667" maxValue="5591.666666666667"/>
    </cacheField>
    <cacheField name="Month 2" numFmtId="168">
      <sharedItems containsSemiMixedTypes="0" containsString="0" containsNumber="1" minValue="4417.166666666667" maxValue="4417.166666666667"/>
    </cacheField>
    <cacheField name="Month 3" numFmtId="168">
      <sharedItems containsSemiMixedTypes="0" containsString="0" containsNumber="1" minValue="4417.166666666667" maxValue="4417.166666666667"/>
    </cacheField>
    <cacheField name="Month 4" numFmtId="168">
      <sharedItems containsSemiMixedTypes="0" containsString="0" containsNumber="1" minValue="4417.166666666667" maxValue="4417.166666666667"/>
    </cacheField>
    <cacheField name="Month 5" numFmtId="168">
      <sharedItems containsSemiMixedTypes="0" containsString="0" containsNumber="1" minValue="4417.166666666667" maxValue="4417.166666666667"/>
    </cacheField>
    <cacheField name="Month 6" numFmtId="168">
      <sharedItems containsSemiMixedTypes="0" containsString="0" containsNumber="1" minValue="4417.166666666667" maxValue="4417.166666666667"/>
    </cacheField>
    <cacheField name="Month 7" numFmtId="168">
      <sharedItems containsSemiMixedTypes="0" containsString="0" containsNumber="1" minValue="4417.166666666667" maxValue="4417.166666666667"/>
    </cacheField>
    <cacheField name="Month 8" numFmtId="168">
      <sharedItems containsSemiMixedTypes="0" containsString="0" containsNumber="1" minValue="4417.166666666667" maxValue="4417.166666666667"/>
    </cacheField>
    <cacheField name="Month 9" numFmtId="168">
      <sharedItems containsSemiMixedTypes="0" containsString="0" containsNumber="1" minValue="4417.166666666667" maxValue="4417.166666666667"/>
    </cacheField>
    <cacheField name="Month 10" numFmtId="168">
      <sharedItems containsSemiMixedTypes="0" containsString="0" containsNumber="1" minValue="4417.166666666667" maxValue="4417.166666666667"/>
    </cacheField>
    <cacheField name="Month 11" numFmtId="168">
      <sharedItems containsSemiMixedTypes="0" containsString="0" containsNumber="1" minValue="4417.166666666667" maxValue="4417.166666666667"/>
    </cacheField>
    <cacheField name="Month 12" numFmtId="168">
      <sharedItems containsSemiMixedTypes="0" containsString="0" containsNumber="1" minValue="4417.166666666667" maxValue="4417.1666666666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rity Youngblood" refreshedDate="43250.476119560182" createdVersion="6" refreshedVersion="6" minRefreshableVersion="3" recordCount="1" xr:uid="{00000000-000A-0000-FFFF-FFFF01000000}">
  <cacheSource type="worksheet">
    <worksheetSource ref="A6:E7" sheet="CP vs Rental PT Data"/>
  </cacheSource>
  <cacheFields count="5">
    <cacheField name="Year 1" numFmtId="168">
      <sharedItems containsSemiMixedTypes="0" containsString="0" containsNumber="1" containsInteger="1" minValue="67100" maxValue="67100"/>
    </cacheField>
    <cacheField name="Year 2" numFmtId="168">
      <sharedItems containsSemiMixedTypes="0" containsString="0" containsNumber="1" containsInteger="1" minValue="57839" maxValue="57839"/>
    </cacheField>
    <cacheField name="Year 3" numFmtId="168">
      <sharedItems containsSemiMixedTypes="0" containsString="0" containsNumber="1" minValue="62815.50499999999" maxValue="62815.50499999999"/>
    </cacheField>
    <cacheField name="Year 4" numFmtId="168">
      <sharedItems containsSemiMixedTypes="0" containsString="0" containsNumber="1" minValue="68046.887300000002" maxValue="68046.887300000002"/>
    </cacheField>
    <cacheField name="Year 5" numFmtId="168">
      <sharedItems containsSemiMixedTypes="0" containsString="0" containsNumber="1" minValue="73545.901672999986" maxValue="73545.9016729999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rity Youngblood" refreshedDate="43250.477383796293" createdVersion="5" refreshedVersion="6" minRefreshableVersion="3" recordCount="1" xr:uid="{00000000-000A-0000-FFFF-FFFF02000000}">
  <cacheSource type="worksheet">
    <worksheetSource ref="A16:E17" sheet="CP vs Rental PT Data"/>
  </cacheSource>
  <cacheFields count="5">
    <cacheField name="Year 1" numFmtId="8">
      <sharedItems containsSemiMixedTypes="0" containsString="0" containsNumber="1" minValue="-4336.4000000000015" maxValue="-4336.4000000000015"/>
    </cacheField>
    <cacheField name="Year 2" numFmtId="8">
      <sharedItems containsSemiMixedTypes="0" containsString="0" containsNumber="1" minValue="-4985.2200000000012" maxValue="-4985.2200000000012"/>
    </cacheField>
    <cacheField name="Year 3" numFmtId="8">
      <sharedItems containsSemiMixedTypes="0" containsString="0" containsNumber="1" minValue="-5670.8010000000013" maxValue="-5670.8010000000013"/>
    </cacheField>
    <cacheField name="Year 4" numFmtId="8">
      <sharedItems containsSemiMixedTypes="0" containsString="0" containsNumber="1" minValue="-6395.0242500000004" maxValue="-6395.0242500000004"/>
    </cacheField>
    <cacheField name="Year 5" numFmtId="8">
      <sharedItems containsSemiMixedTypes="0" containsString="0" containsNumber="1" minValue="-7159.8654945000017" maxValue="-7159.86549450000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n v="5591.666666666667"/>
    <n v="4417.166666666667"/>
    <n v="4417.166666666667"/>
    <n v="4417.166666666667"/>
    <n v="4417.166666666667"/>
    <n v="4417.166666666667"/>
    <n v="4417.166666666667"/>
    <n v="4417.166666666667"/>
    <n v="4417.166666666667"/>
    <n v="4417.166666666667"/>
    <n v="4417.166666666667"/>
    <n v="4417.16666666666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67100"/>
    <n v="57839"/>
    <n v="62815.50499999999"/>
    <n v="68046.887300000002"/>
    <n v="73545.90167299998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-4336.4000000000015"/>
    <n v="-4985.2200000000012"/>
    <n v="-5670.8010000000013"/>
    <n v="-6395.0242500000004"/>
    <n v="-7159.86549450000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6">
  <location ref="A34:E35" firstHeaderRow="0" firstDataRow="1" firstDataCol="0"/>
  <pivotFields count="5">
    <pivotField dataField="1" numFmtId="8" showAll="0"/>
    <pivotField dataField="1" numFmtId="8" showAll="0"/>
    <pivotField dataField="1" numFmtId="8" showAll="0"/>
    <pivotField dataField="1" numFmtId="8" showAll="0"/>
    <pivotField dataField="1" numFmtId="8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Year 1" fld="0" baseField="0" baseItem="1" numFmtId="168"/>
    <dataField name="Sum of Year 2" fld="1" baseField="0" baseItem="1" numFmtId="168"/>
    <dataField name="Sum of Year 3" fld="2" baseField="0" baseItem="2" numFmtId="168"/>
    <dataField name="Sum of Year 4" fld="3" baseField="0" baseItem="3" numFmtId="168"/>
    <dataField name="Sum of Year 5" fld="4" baseField="0" baseItem="4" numFmtId="168"/>
  </dataFields>
  <chartFormats count="5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PivotTable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6">
  <location ref="O12:Z13" firstHeaderRow="0" firstDataRow="1" firstDataCol="0"/>
  <pivotFields count="12"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</pivotFields>
  <rowItems count="1">
    <i/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Sum of Month 1 " fld="0" baseField="0" baseItem="0"/>
    <dataField name="Sum of Month 2" fld="1" baseField="0" baseItem="0"/>
    <dataField name="Sum of Month 3" fld="2" baseField="0" baseItem="0"/>
    <dataField name="Sum of Month 4" fld="3" baseField="0" baseItem="0"/>
    <dataField name="Sum of Month 5" fld="4" baseField="0" baseItem="0"/>
    <dataField name="Sum of Month 6" fld="5" baseField="0" baseItem="0"/>
    <dataField name="Sum of Month 7" fld="6" baseField="0" baseItem="0"/>
    <dataField name="Sum of Month 8" fld="7" baseField="0" baseItem="0"/>
    <dataField name="Sum of Month 9" fld="8" baseField="0" baseItem="0"/>
    <dataField name="Sum of Month 10" fld="9" baseField="0" baseItem="0"/>
    <dataField name="Sum of Month 11" fld="10" baseField="0" baseItem="0"/>
    <dataField name="Sum of Month 12" fld="11" baseField="0" baseItem="0"/>
  </dataFields>
  <chartFormats count="12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17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18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19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20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21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23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24" series="1">
      <pivotArea type="data" outline="0" fieldPosition="0">
        <references count="1">
          <reference field="4294967294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2000000}" name="PivotTable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30:E31" firstHeaderRow="0" firstDataRow="1" firstDataCol="0"/>
  <pivotFields count="5"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Year 1" fld="0" baseField="0" baseItem="0" numFmtId="168"/>
    <dataField name="Sum of Year 2" fld="1" baseField="0" baseItem="0" numFmtId="168"/>
    <dataField name="Sum of Year 3" fld="2" baseField="0" baseItem="0" numFmtId="168"/>
    <dataField name="Sum of Year 4" fld="3" baseField="0" baseItem="0" numFmtId="168"/>
    <dataField name="Sum of Year 5" fld="4" baseField="0" baseItem="0" numFmtId="168"/>
  </dataFields>
  <chartFormats count="10">
    <chartFormat chart="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9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1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0000000}" name="Table15" displayName="Table15" ref="A1:M24" totalsRowShown="0" headerRowDxfId="58" dataDxfId="57" tableBorderDxfId="56">
  <autoFilter ref="A1:M24" xr:uid="{00000000-0009-0000-0100-00000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0000000-0010-0000-0000-000001000000}" name="Column1" dataDxfId="55"/>
    <tableColumn id="2" xr3:uid="{00000000-0010-0000-0000-000002000000}" name="Month 1" dataDxfId="54"/>
    <tableColumn id="3" xr3:uid="{00000000-0010-0000-0000-000003000000}" name="Month 2" dataDxfId="53"/>
    <tableColumn id="4" xr3:uid="{00000000-0010-0000-0000-000004000000}" name="Month 3" dataDxfId="52"/>
    <tableColumn id="5" xr3:uid="{00000000-0010-0000-0000-000005000000}" name="Month 4" dataDxfId="51"/>
    <tableColumn id="6" xr3:uid="{00000000-0010-0000-0000-000006000000}" name="Month 5" dataDxfId="50"/>
    <tableColumn id="7" xr3:uid="{00000000-0010-0000-0000-000007000000}" name="Month 6" dataDxfId="49"/>
    <tableColumn id="8" xr3:uid="{00000000-0010-0000-0000-000008000000}" name="Month 7" dataDxfId="48"/>
    <tableColumn id="9" xr3:uid="{00000000-0010-0000-0000-000009000000}" name="Month 8" dataDxfId="47"/>
    <tableColumn id="10" xr3:uid="{00000000-0010-0000-0000-00000A000000}" name="Month 9" dataDxfId="46"/>
    <tableColumn id="11" xr3:uid="{00000000-0010-0000-0000-00000B000000}" name="Month 10" dataDxfId="45"/>
    <tableColumn id="12" xr3:uid="{00000000-0010-0000-0000-00000C000000}" name="Month 11" dataDxfId="44"/>
    <tableColumn id="13" xr3:uid="{00000000-0010-0000-0000-00000D000000}" name="Month 12" dataDxfId="4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RentalYearlyStatement" displayName="RentalYearlyStatement" ref="A1:F24" totalsRowShown="0" headerRowDxfId="42" dataDxfId="41" tableBorderDxfId="40">
  <autoFilter ref="A1:F24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100-000001000000}" name="Worksheets(&quot;CP vs Rental Dashboard&quot;).Range(&quot;B6&quot;).Value = Worksheets(&quot;PCF Yearly Statement&quot;).Range(&quot;A1:F24&quot;).Value" dataDxfId="39"/>
    <tableColumn id="2" xr3:uid="{00000000-0010-0000-0100-000002000000}" name="Year 1" dataDxfId="38"/>
    <tableColumn id="3" xr3:uid="{00000000-0010-0000-0100-000003000000}" name="Year 2" dataDxfId="37"/>
    <tableColumn id="4" xr3:uid="{00000000-0010-0000-0100-000004000000}" name="Year 3" dataDxfId="36"/>
    <tableColumn id="5" xr3:uid="{00000000-0010-0000-0100-000005000000}" name="Year 4" dataDxfId="35"/>
    <tableColumn id="6" xr3:uid="{00000000-0010-0000-0100-000006000000}" name="Year 5" dataDxfId="34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pecs34" displayName="Specs34" ref="F2:G9" totalsRowShown="0" headerRowDxfId="33" headerRowBorderDxfId="32" tableBorderDxfId="31" totalsRowBorderDxfId="30">
  <autoFilter ref="F2:G9" xr:uid="{00000000-0009-0000-0100-000003000000}"/>
  <tableColumns count="2">
    <tableColumn id="1" xr3:uid="{00000000-0010-0000-0200-000001000000}" name="Specs" dataDxfId="29"/>
    <tableColumn id="2" xr3:uid="{00000000-0010-0000-0200-000002000000}" name="Totals" dataDxfId="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3000000}" name="Table16" displayName="Table16" ref="A1:M28" totalsRowShown="0" headerRowDxfId="27" dataDxfId="26" tableBorderDxfId="25">
  <autoFilter ref="A1:M28" xr:uid="{00000000-0009-0000-0100-00001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0000000-0010-0000-0300-000001000000}" name="Column1" dataDxfId="24"/>
    <tableColumn id="2" xr3:uid="{00000000-0010-0000-0300-000002000000}" name="Month 1" dataDxfId="23"/>
    <tableColumn id="3" xr3:uid="{00000000-0010-0000-0300-000003000000}" name="Month 2" dataDxfId="22"/>
    <tableColumn id="4" xr3:uid="{00000000-0010-0000-0300-000004000000}" name="Month 3" dataDxfId="21"/>
    <tableColumn id="5" xr3:uid="{00000000-0010-0000-0300-000005000000}" name="Month 4" dataDxfId="20"/>
    <tableColumn id="6" xr3:uid="{00000000-0010-0000-0300-000006000000}" name="Month 5" dataDxfId="19"/>
    <tableColumn id="7" xr3:uid="{00000000-0010-0000-0300-000007000000}" name="Month 6" dataDxfId="18"/>
    <tableColumn id="8" xr3:uid="{00000000-0010-0000-0300-000008000000}" name="Month 7" dataDxfId="17"/>
    <tableColumn id="9" xr3:uid="{00000000-0010-0000-0300-000009000000}" name="Month 8" dataDxfId="16"/>
    <tableColumn id="10" xr3:uid="{00000000-0010-0000-0300-00000A000000}" name="Month 9" dataDxfId="15"/>
    <tableColumn id="11" xr3:uid="{00000000-0010-0000-0300-00000B000000}" name="Month 10" dataDxfId="14"/>
    <tableColumn id="12" xr3:uid="{00000000-0010-0000-0300-00000C000000}" name="Month 11" dataDxfId="13"/>
    <tableColumn id="13" xr3:uid="{00000000-0010-0000-0300-00000D000000}" name="Month 12" dataDxfId="1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CPYearlyStatement" displayName="CPYearlyStatement" ref="A1:F28" totalsRowShown="0" headerRowDxfId="11" dataDxfId="10" tableBorderDxfId="9">
  <autoFilter ref="A1:F28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400-000001000000}" name="Column1" dataDxfId="8"/>
    <tableColumn id="2" xr3:uid="{00000000-0010-0000-0400-000002000000}" name="Year 1" dataDxfId="7"/>
    <tableColumn id="3" xr3:uid="{00000000-0010-0000-0400-000003000000}" name="Year 2" dataDxfId="6"/>
    <tableColumn id="4" xr3:uid="{00000000-0010-0000-0400-000004000000}" name="Year 3" dataDxfId="5"/>
    <tableColumn id="5" xr3:uid="{00000000-0010-0000-0400-000005000000}" name="Year 4" dataDxfId="4"/>
    <tableColumn id="6" xr3:uid="{00000000-0010-0000-0400-000006000000}" name="Year 5" dataDxfId="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5000000}" name="Table26" displayName="Table26" ref="J4:O31" totalsRowShown="0" headerRowDxfId="2" headerRowBorderDxfId="1" tableBorderDxfId="0">
  <autoFilter ref="J4:O31" xr:uid="{00000000-0009-0000-0100-00001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500-000001000000}" name="Column1"/>
    <tableColumn id="2" xr3:uid="{00000000-0010-0000-0500-000002000000}" name="Year 1"/>
    <tableColumn id="3" xr3:uid="{00000000-0010-0000-0500-000003000000}" name="Year 2"/>
    <tableColumn id="4" xr3:uid="{00000000-0010-0000-0500-000004000000}" name="Year 3"/>
    <tableColumn id="5" xr3:uid="{00000000-0010-0000-0500-000005000000}" name="Year 4"/>
    <tableColumn id="6" xr3:uid="{00000000-0010-0000-0500-000006000000}" name="Year 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97F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9"/>
  <sheetViews>
    <sheetView zoomScale="125" zoomScaleNormal="125" zoomScalePageLayoutView="125" workbookViewId="0">
      <selection activeCell="D6" sqref="D6"/>
    </sheetView>
  </sheetViews>
  <sheetFormatPr baseColWidth="10" defaultColWidth="11.5" defaultRowHeight="15" x14ac:dyDescent="0.2"/>
  <cols>
    <col min="1" max="1" width="60.83203125" customWidth="1"/>
    <col min="2" max="2" width="15.5" customWidth="1"/>
  </cols>
  <sheetData>
    <row r="1" spans="1:2" x14ac:dyDescent="0.2">
      <c r="A1" s="128" t="s">
        <v>19</v>
      </c>
      <c r="B1" s="128"/>
    </row>
    <row r="2" spans="1:2" x14ac:dyDescent="0.2">
      <c r="A2" s="18" t="s">
        <v>22</v>
      </c>
      <c r="B2" s="9"/>
    </row>
    <row r="3" spans="1:2" x14ac:dyDescent="0.2">
      <c r="A3" s="18" t="s">
        <v>64</v>
      </c>
      <c r="B3" s="9"/>
    </row>
    <row r="4" spans="1:2" x14ac:dyDescent="0.2">
      <c r="A4" s="9" t="s">
        <v>32</v>
      </c>
      <c r="B4" s="9"/>
    </row>
    <row r="5" spans="1:2" x14ac:dyDescent="0.2">
      <c r="A5" s="9" t="s">
        <v>36</v>
      </c>
      <c r="B5" s="9"/>
    </row>
    <row r="6" spans="1:2" x14ac:dyDescent="0.2">
      <c r="A6" s="9" t="s">
        <v>57</v>
      </c>
      <c r="B6" s="19">
        <v>0.05</v>
      </c>
    </row>
    <row r="7" spans="1:2" x14ac:dyDescent="0.2">
      <c r="A7" s="9" t="s">
        <v>58</v>
      </c>
      <c r="B7" s="19">
        <v>0.02</v>
      </c>
    </row>
    <row r="8" spans="1:2" x14ac:dyDescent="0.2">
      <c r="A8" s="9" t="s">
        <v>59</v>
      </c>
      <c r="B8" s="20">
        <v>0.13500000000000001</v>
      </c>
    </row>
    <row r="9" spans="1:2" x14ac:dyDescent="0.2">
      <c r="A9" s="21" t="s">
        <v>60</v>
      </c>
      <c r="B9" s="19">
        <v>0.01</v>
      </c>
    </row>
  </sheetData>
  <mergeCells count="1">
    <mergeCell ref="A1:B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4"/>
  <sheetViews>
    <sheetView zoomScaleNormal="100" zoomScalePageLayoutView="125" workbookViewId="0">
      <selection activeCell="O13" sqref="O13"/>
    </sheetView>
  </sheetViews>
  <sheetFormatPr baseColWidth="10" defaultColWidth="8.83203125" defaultRowHeight="15" x14ac:dyDescent="0.2"/>
  <cols>
    <col min="1" max="1" width="28.33203125" customWidth="1"/>
    <col min="2" max="2" width="12.1640625" bestFit="1" customWidth="1"/>
    <col min="3" max="13" width="12.1640625" customWidth="1"/>
    <col min="15" max="15" width="30" customWidth="1"/>
    <col min="16" max="16" width="12.83203125" customWidth="1"/>
    <col min="17" max="17" width="12.1640625" customWidth="1"/>
    <col min="18" max="18" width="9.33203125" customWidth="1"/>
    <col min="19" max="19" width="3" customWidth="1"/>
    <col min="20" max="21" width="5" customWidth="1"/>
    <col min="22" max="22" width="7.33203125" customWidth="1"/>
    <col min="23" max="23" width="11.33203125" customWidth="1"/>
    <col min="24" max="24" width="9.83203125" bestFit="1" customWidth="1"/>
    <col min="25" max="25" width="24.33203125" bestFit="1" customWidth="1"/>
    <col min="26" max="26" width="9.83203125" bestFit="1" customWidth="1"/>
    <col min="27" max="27" width="23.83203125" bestFit="1" customWidth="1"/>
    <col min="28" max="28" width="12.1640625" bestFit="1" customWidth="1"/>
    <col min="29" max="29" width="11.33203125" bestFit="1" customWidth="1"/>
  </cols>
  <sheetData>
    <row r="1" spans="1:16" ht="16" x14ac:dyDescent="0.2">
      <c r="A1" s="82" t="s">
        <v>76</v>
      </c>
      <c r="B1" s="81" t="s">
        <v>39</v>
      </c>
      <c r="C1" s="81" t="s">
        <v>40</v>
      </c>
      <c r="D1" s="81" t="s">
        <v>41</v>
      </c>
      <c r="E1" s="81" t="s">
        <v>42</v>
      </c>
      <c r="F1" s="81" t="s">
        <v>43</v>
      </c>
      <c r="G1" s="81" t="s">
        <v>44</v>
      </c>
      <c r="H1" s="81" t="s">
        <v>45</v>
      </c>
      <c r="I1" s="81" t="s">
        <v>46</v>
      </c>
      <c r="J1" s="81" t="s">
        <v>47</v>
      </c>
      <c r="K1" s="81" t="s">
        <v>48</v>
      </c>
      <c r="L1" s="81" t="s">
        <v>49</v>
      </c>
      <c r="M1" s="81" t="s">
        <v>50</v>
      </c>
    </row>
    <row r="2" spans="1:16" ht="16" x14ac:dyDescent="0.2">
      <c r="A2" s="116" t="s">
        <v>0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O2" s="22"/>
      <c r="P2" s="22"/>
    </row>
    <row r="3" spans="1:16" ht="16" x14ac:dyDescent="0.2">
      <c r="A3" s="117" t="s">
        <v>14</v>
      </c>
      <c r="B3" s="118">
        <f>Revenue!$C4</f>
        <v>1469.7</v>
      </c>
      <c r="C3" s="118">
        <f>Revenue!$C4</f>
        <v>1469.7</v>
      </c>
      <c r="D3" s="118">
        <f>Revenue!$C4</f>
        <v>1469.7</v>
      </c>
      <c r="E3" s="118">
        <f>Revenue!$C4</f>
        <v>1469.7</v>
      </c>
      <c r="F3" s="118">
        <f>Revenue!$C4</f>
        <v>1469.7</v>
      </c>
      <c r="G3" s="118">
        <f>Revenue!$C4</f>
        <v>1469.7</v>
      </c>
      <c r="H3" s="118">
        <f>Revenue!$C4</f>
        <v>1469.7</v>
      </c>
      <c r="I3" s="118">
        <f>Revenue!$C4</f>
        <v>1469.7</v>
      </c>
      <c r="J3" s="118">
        <f>Revenue!$C4</f>
        <v>1469.7</v>
      </c>
      <c r="K3" s="118">
        <f>Revenue!$C4</f>
        <v>1469.7</v>
      </c>
      <c r="L3" s="118">
        <f>Revenue!$C4</f>
        <v>1469.7</v>
      </c>
      <c r="M3" s="118">
        <f>Revenue!$C4</f>
        <v>1469.7</v>
      </c>
      <c r="O3" s="22"/>
      <c r="P3" s="22"/>
    </row>
    <row r="4" spans="1:16" ht="16" x14ac:dyDescent="0.2">
      <c r="A4" s="117" t="s">
        <v>2</v>
      </c>
      <c r="B4" s="118">
        <v>0</v>
      </c>
      <c r="C4" s="118">
        <f>Revenue!$C$7</f>
        <v>-29.394000000000002</v>
      </c>
      <c r="D4" s="118">
        <f>Revenue!$C$7</f>
        <v>-29.394000000000002</v>
      </c>
      <c r="E4" s="118">
        <f>Revenue!$C$7</f>
        <v>-29.394000000000002</v>
      </c>
      <c r="F4" s="118">
        <f>Revenue!$C$7</f>
        <v>-29.394000000000002</v>
      </c>
      <c r="G4" s="118">
        <f>Revenue!$C$7</f>
        <v>-29.394000000000002</v>
      </c>
      <c r="H4" s="118">
        <f>Revenue!$C$7</f>
        <v>-29.394000000000002</v>
      </c>
      <c r="I4" s="118">
        <f>Revenue!$C$7</f>
        <v>-29.394000000000002</v>
      </c>
      <c r="J4" s="118">
        <f>Revenue!$C$7</f>
        <v>-29.394000000000002</v>
      </c>
      <c r="K4" s="118">
        <f>Revenue!$C$7</f>
        <v>-29.394000000000002</v>
      </c>
      <c r="L4" s="118">
        <f>Revenue!$C$7</f>
        <v>-29.394000000000002</v>
      </c>
      <c r="M4" s="118">
        <f>Revenue!$C$7</f>
        <v>-29.394000000000002</v>
      </c>
      <c r="O4" s="22"/>
      <c r="P4" s="22"/>
    </row>
    <row r="5" spans="1:16" ht="16" x14ac:dyDescent="0.2">
      <c r="A5" s="117" t="s">
        <v>3</v>
      </c>
      <c r="B5" s="118">
        <v>0</v>
      </c>
      <c r="C5" s="118">
        <f>Revenue!$C$11</f>
        <v>-28.80612</v>
      </c>
      <c r="D5" s="118">
        <f>Revenue!$C$11</f>
        <v>-28.80612</v>
      </c>
      <c r="E5" s="118">
        <f>Revenue!$C$11</f>
        <v>-28.80612</v>
      </c>
      <c r="F5" s="118">
        <f>Revenue!$C$11</f>
        <v>-28.80612</v>
      </c>
      <c r="G5" s="118">
        <f>Revenue!$C$11</f>
        <v>-28.80612</v>
      </c>
      <c r="H5" s="118">
        <f>Revenue!$C$11</f>
        <v>-28.80612</v>
      </c>
      <c r="I5" s="118">
        <f>Revenue!$C$11</f>
        <v>-28.80612</v>
      </c>
      <c r="J5" s="118">
        <f>Revenue!$C$11</f>
        <v>-28.80612</v>
      </c>
      <c r="K5" s="118">
        <f>Revenue!$C$11</f>
        <v>-28.80612</v>
      </c>
      <c r="L5" s="118">
        <f>Revenue!$C$11</f>
        <v>-28.80612</v>
      </c>
      <c r="M5" s="118">
        <f>Revenue!$C$11</f>
        <v>-28.80612</v>
      </c>
      <c r="O5" s="22"/>
      <c r="P5" s="22"/>
    </row>
    <row r="6" spans="1:16" ht="16" x14ac:dyDescent="0.2">
      <c r="A6" s="116" t="s">
        <v>4</v>
      </c>
      <c r="B6" s="118">
        <f>SUM(B3:B5)</f>
        <v>1469.7</v>
      </c>
      <c r="C6" s="118">
        <f>SUM(C3:C5)</f>
        <v>1411.4998800000001</v>
      </c>
      <c r="D6" s="118">
        <f t="shared" ref="D6:M6" si="0">SUM(D3:D5)</f>
        <v>1411.4998800000001</v>
      </c>
      <c r="E6" s="118">
        <f t="shared" si="0"/>
        <v>1411.4998800000001</v>
      </c>
      <c r="F6" s="118">
        <f t="shared" si="0"/>
        <v>1411.4998800000001</v>
      </c>
      <c r="G6" s="118">
        <f t="shared" si="0"/>
        <v>1411.4998800000001</v>
      </c>
      <c r="H6" s="118">
        <f t="shared" si="0"/>
        <v>1411.4998800000001</v>
      </c>
      <c r="I6" s="118">
        <f t="shared" si="0"/>
        <v>1411.4998800000001</v>
      </c>
      <c r="J6" s="118">
        <f t="shared" si="0"/>
        <v>1411.4998800000001</v>
      </c>
      <c r="K6" s="118">
        <f t="shared" si="0"/>
        <v>1411.4998800000001</v>
      </c>
      <c r="L6" s="118">
        <f t="shared" si="0"/>
        <v>1411.4998800000001</v>
      </c>
      <c r="M6" s="118">
        <f t="shared" si="0"/>
        <v>1411.4998800000001</v>
      </c>
      <c r="O6" s="22"/>
      <c r="P6" s="22"/>
    </row>
    <row r="7" spans="1:16" ht="16" x14ac:dyDescent="0.2">
      <c r="A7" s="117"/>
      <c r="B7" s="118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O7" s="22"/>
      <c r="P7" s="22"/>
    </row>
    <row r="8" spans="1:16" ht="16" x14ac:dyDescent="0.2">
      <c r="A8" s="119" t="s">
        <v>5</v>
      </c>
      <c r="B8" s="118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18"/>
      <c r="O8" s="22"/>
      <c r="P8" s="22"/>
    </row>
    <row r="9" spans="1:16" ht="16" x14ac:dyDescent="0.2">
      <c r="A9" s="117" t="s">
        <v>56</v>
      </c>
      <c r="B9" s="118">
        <v>100</v>
      </c>
      <c r="C9" s="118">
        <v>100</v>
      </c>
      <c r="D9" s="118">
        <v>100</v>
      </c>
      <c r="E9" s="118">
        <v>100</v>
      </c>
      <c r="F9" s="118">
        <v>100</v>
      </c>
      <c r="G9" s="118">
        <v>100</v>
      </c>
      <c r="H9" s="118">
        <v>100</v>
      </c>
      <c r="I9" s="118">
        <v>100</v>
      </c>
      <c r="J9" s="118">
        <v>100</v>
      </c>
      <c r="K9" s="118">
        <v>100</v>
      </c>
      <c r="L9" s="118">
        <v>100</v>
      </c>
      <c r="M9" s="118">
        <v>100</v>
      </c>
      <c r="O9" s="22"/>
      <c r="P9" s="23"/>
    </row>
    <row r="10" spans="1:16" ht="16" x14ac:dyDescent="0.2">
      <c r="A10" s="116" t="s">
        <v>6</v>
      </c>
      <c r="B10" s="118">
        <f>B9</f>
        <v>100</v>
      </c>
      <c r="C10" s="118">
        <f t="shared" ref="C10:F10" si="1">C9</f>
        <v>100</v>
      </c>
      <c r="D10" s="118">
        <f t="shared" si="1"/>
        <v>100</v>
      </c>
      <c r="E10" s="118">
        <f t="shared" si="1"/>
        <v>100</v>
      </c>
      <c r="F10" s="118">
        <f t="shared" si="1"/>
        <v>100</v>
      </c>
      <c r="G10" s="118">
        <f t="shared" ref="G10" si="2">G9</f>
        <v>100</v>
      </c>
      <c r="H10" s="118">
        <f t="shared" ref="H10" si="3">H9</f>
        <v>100</v>
      </c>
      <c r="I10" s="118">
        <f t="shared" ref="I10" si="4">I9</f>
        <v>100</v>
      </c>
      <c r="J10" s="118">
        <f t="shared" ref="J10" si="5">J9</f>
        <v>100</v>
      </c>
      <c r="K10" s="118">
        <f t="shared" ref="K10" si="6">K9</f>
        <v>100</v>
      </c>
      <c r="L10" s="118">
        <f t="shared" ref="L10" si="7">L9</f>
        <v>100</v>
      </c>
      <c r="M10" s="118">
        <f t="shared" ref="M10" si="8">M9</f>
        <v>100</v>
      </c>
    </row>
    <row r="11" spans="1:16" ht="16" x14ac:dyDescent="0.2">
      <c r="A11" s="117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</row>
    <row r="12" spans="1:16" ht="16" x14ac:dyDescent="0.2">
      <c r="A12" s="116" t="s">
        <v>7</v>
      </c>
      <c r="B12" s="118">
        <f>SUM(B6,B10)</f>
        <v>1569.7</v>
      </c>
      <c r="C12" s="118">
        <f t="shared" ref="C12:M12" si="9">SUM(C6,C10)</f>
        <v>1511.4998800000001</v>
      </c>
      <c r="D12" s="118">
        <f t="shared" si="9"/>
        <v>1511.4998800000001</v>
      </c>
      <c r="E12" s="118">
        <f t="shared" si="9"/>
        <v>1511.4998800000001</v>
      </c>
      <c r="F12" s="118">
        <f t="shared" si="9"/>
        <v>1511.4998800000001</v>
      </c>
      <c r="G12" s="118">
        <f t="shared" si="9"/>
        <v>1511.4998800000001</v>
      </c>
      <c r="H12" s="118">
        <f t="shared" si="9"/>
        <v>1511.4998800000001</v>
      </c>
      <c r="I12" s="118">
        <f t="shared" si="9"/>
        <v>1511.4998800000001</v>
      </c>
      <c r="J12" s="118">
        <f t="shared" si="9"/>
        <v>1511.4998800000001</v>
      </c>
      <c r="K12" s="118">
        <f t="shared" si="9"/>
        <v>1511.4998800000001</v>
      </c>
      <c r="L12" s="118">
        <f t="shared" si="9"/>
        <v>1511.4998800000001</v>
      </c>
      <c r="M12" s="118">
        <f t="shared" si="9"/>
        <v>1511.4998800000001</v>
      </c>
    </row>
    <row r="13" spans="1:16" ht="16" x14ac:dyDescent="0.2">
      <c r="A13" s="117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</row>
    <row r="14" spans="1:16" ht="16" x14ac:dyDescent="0.2">
      <c r="A14" s="119" t="s">
        <v>8</v>
      </c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</row>
    <row r="15" spans="1:16" ht="16" x14ac:dyDescent="0.2">
      <c r="A15" s="117" t="s">
        <v>9</v>
      </c>
      <c r="B15" s="118">
        <f>(200000 * 0.0135) / 12</f>
        <v>225</v>
      </c>
      <c r="C15" s="118">
        <f t="shared" ref="C15:M15" si="10">(200000 * 0.0135) / 12</f>
        <v>225</v>
      </c>
      <c r="D15" s="118">
        <f t="shared" si="10"/>
        <v>225</v>
      </c>
      <c r="E15" s="118">
        <f t="shared" si="10"/>
        <v>225</v>
      </c>
      <c r="F15" s="118">
        <f t="shared" si="10"/>
        <v>225</v>
      </c>
      <c r="G15" s="118">
        <f t="shared" si="10"/>
        <v>225</v>
      </c>
      <c r="H15" s="118">
        <f t="shared" si="10"/>
        <v>225</v>
      </c>
      <c r="I15" s="118">
        <f t="shared" si="10"/>
        <v>225</v>
      </c>
      <c r="J15" s="118">
        <f t="shared" si="10"/>
        <v>225</v>
      </c>
      <c r="K15" s="118">
        <f t="shared" si="10"/>
        <v>225</v>
      </c>
      <c r="L15" s="118">
        <f t="shared" si="10"/>
        <v>225</v>
      </c>
      <c r="M15" s="118">
        <f t="shared" si="10"/>
        <v>225</v>
      </c>
    </row>
    <row r="16" spans="1:16" ht="16" x14ac:dyDescent="0.2">
      <c r="A16" s="117" t="s">
        <v>10</v>
      </c>
      <c r="B16" s="118">
        <f>1000/12</f>
        <v>83.333333333333329</v>
      </c>
      <c r="C16" s="118">
        <f t="shared" ref="C16:M16" si="11">1000/12</f>
        <v>83.333333333333329</v>
      </c>
      <c r="D16" s="118">
        <f t="shared" si="11"/>
        <v>83.333333333333329</v>
      </c>
      <c r="E16" s="118">
        <f t="shared" si="11"/>
        <v>83.333333333333329</v>
      </c>
      <c r="F16" s="118">
        <f t="shared" si="11"/>
        <v>83.333333333333329</v>
      </c>
      <c r="G16" s="118">
        <f t="shared" si="11"/>
        <v>83.333333333333329</v>
      </c>
      <c r="H16" s="118">
        <f t="shared" si="11"/>
        <v>83.333333333333329</v>
      </c>
      <c r="I16" s="118">
        <f t="shared" si="11"/>
        <v>83.333333333333329</v>
      </c>
      <c r="J16" s="118">
        <f t="shared" si="11"/>
        <v>83.333333333333329</v>
      </c>
      <c r="K16" s="118">
        <f t="shared" si="11"/>
        <v>83.333333333333329</v>
      </c>
      <c r="L16" s="118">
        <f t="shared" si="11"/>
        <v>83.333333333333329</v>
      </c>
      <c r="M16" s="118">
        <f t="shared" si="11"/>
        <v>83.333333333333329</v>
      </c>
    </row>
    <row r="17" spans="1:13" ht="16" x14ac:dyDescent="0.2">
      <c r="A17" s="116" t="s">
        <v>11</v>
      </c>
      <c r="B17" s="118">
        <f>SUM(B15:B16)</f>
        <v>308.33333333333331</v>
      </c>
      <c r="C17" s="118">
        <f t="shared" ref="C17:M17" si="12">SUM(C15:C16)</f>
        <v>308.33333333333331</v>
      </c>
      <c r="D17" s="118">
        <f t="shared" si="12"/>
        <v>308.33333333333331</v>
      </c>
      <c r="E17" s="118">
        <f t="shared" si="12"/>
        <v>308.33333333333331</v>
      </c>
      <c r="F17" s="118">
        <f t="shared" si="12"/>
        <v>308.33333333333331</v>
      </c>
      <c r="G17" s="118">
        <f t="shared" si="12"/>
        <v>308.33333333333331</v>
      </c>
      <c r="H17" s="118">
        <f t="shared" si="12"/>
        <v>308.33333333333331</v>
      </c>
      <c r="I17" s="118">
        <f t="shared" si="12"/>
        <v>308.33333333333331</v>
      </c>
      <c r="J17" s="118">
        <f t="shared" si="12"/>
        <v>308.33333333333331</v>
      </c>
      <c r="K17" s="118">
        <f t="shared" si="12"/>
        <v>308.33333333333331</v>
      </c>
      <c r="L17" s="118">
        <f t="shared" si="12"/>
        <v>308.33333333333331</v>
      </c>
      <c r="M17" s="118">
        <f t="shared" si="12"/>
        <v>308.33333333333331</v>
      </c>
    </row>
    <row r="18" spans="1:13" ht="16" x14ac:dyDescent="0.2">
      <c r="A18" s="117"/>
      <c r="B18" s="120"/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</row>
    <row r="19" spans="1:13" ht="16" x14ac:dyDescent="0.2">
      <c r="A19" s="116" t="s">
        <v>1</v>
      </c>
      <c r="B19" s="118">
        <f t="shared" ref="B19:M19" si="13">SUM(B12-B17)</f>
        <v>1261.3666666666668</v>
      </c>
      <c r="C19" s="118">
        <f t="shared" si="13"/>
        <v>1203.1665466666668</v>
      </c>
      <c r="D19" s="118">
        <f t="shared" si="13"/>
        <v>1203.1665466666668</v>
      </c>
      <c r="E19" s="118">
        <f t="shared" si="13"/>
        <v>1203.1665466666668</v>
      </c>
      <c r="F19" s="118">
        <f t="shared" si="13"/>
        <v>1203.1665466666668</v>
      </c>
      <c r="G19" s="118">
        <f t="shared" si="13"/>
        <v>1203.1665466666668</v>
      </c>
      <c r="H19" s="118">
        <f t="shared" si="13"/>
        <v>1203.1665466666668</v>
      </c>
      <c r="I19" s="118">
        <f t="shared" si="13"/>
        <v>1203.1665466666668</v>
      </c>
      <c r="J19" s="118">
        <f t="shared" si="13"/>
        <v>1203.1665466666668</v>
      </c>
      <c r="K19" s="118">
        <f t="shared" si="13"/>
        <v>1203.1665466666668</v>
      </c>
      <c r="L19" s="118">
        <f t="shared" si="13"/>
        <v>1203.1665466666668</v>
      </c>
      <c r="M19" s="118">
        <f t="shared" si="13"/>
        <v>1203.1665466666668</v>
      </c>
    </row>
    <row r="20" spans="1:13" ht="16" x14ac:dyDescent="0.2">
      <c r="A20" s="119"/>
      <c r="B20" s="120"/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120"/>
    </row>
    <row r="21" spans="1:13" ht="16" x14ac:dyDescent="0.2">
      <c r="A21" s="119" t="s">
        <v>12</v>
      </c>
      <c r="B21" s="120"/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120"/>
    </row>
    <row r="22" spans="1:13" ht="16" x14ac:dyDescent="0.2">
      <c r="A22" s="117" t="s">
        <v>73</v>
      </c>
      <c r="B22" s="121">
        <v>900</v>
      </c>
      <c r="C22" s="121">
        <v>900</v>
      </c>
      <c r="D22" s="121">
        <v>900</v>
      </c>
      <c r="E22" s="121">
        <v>900</v>
      </c>
      <c r="F22" s="121">
        <v>900</v>
      </c>
      <c r="G22" s="121">
        <v>900</v>
      </c>
      <c r="H22" s="121">
        <v>900</v>
      </c>
      <c r="I22" s="121">
        <v>900</v>
      </c>
      <c r="J22" s="121">
        <v>900</v>
      </c>
      <c r="K22" s="121">
        <v>900</v>
      </c>
      <c r="L22" s="121">
        <v>900</v>
      </c>
      <c r="M22" s="121">
        <v>900</v>
      </c>
    </row>
    <row r="23" spans="1:13" ht="16" x14ac:dyDescent="0.2">
      <c r="A23" s="117"/>
      <c r="B23" s="120"/>
      <c r="C23" s="120"/>
      <c r="D23" s="120"/>
      <c r="E23" s="120"/>
      <c r="F23" s="120"/>
      <c r="G23" s="120"/>
      <c r="H23" s="120"/>
      <c r="I23" s="120"/>
      <c r="J23" s="120"/>
      <c r="K23" s="120"/>
      <c r="L23" s="120"/>
      <c r="M23" s="120"/>
    </row>
    <row r="24" spans="1:13" ht="16" x14ac:dyDescent="0.2">
      <c r="A24" s="84" t="s">
        <v>13</v>
      </c>
      <c r="B24" s="113">
        <f>SUM(B19-B22)</f>
        <v>361.36666666666679</v>
      </c>
      <c r="C24" s="113">
        <f t="shared" ref="C24:M24" si="14">SUM(C19-C22)</f>
        <v>303.16654666666682</v>
      </c>
      <c r="D24" s="113">
        <f t="shared" si="14"/>
        <v>303.16654666666682</v>
      </c>
      <c r="E24" s="113">
        <f t="shared" si="14"/>
        <v>303.16654666666682</v>
      </c>
      <c r="F24" s="113">
        <f t="shared" si="14"/>
        <v>303.16654666666682</v>
      </c>
      <c r="G24" s="113">
        <f t="shared" si="14"/>
        <v>303.16654666666682</v>
      </c>
      <c r="H24" s="113">
        <f t="shared" si="14"/>
        <v>303.16654666666682</v>
      </c>
      <c r="I24" s="113">
        <f t="shared" si="14"/>
        <v>303.16654666666682</v>
      </c>
      <c r="J24" s="113">
        <f t="shared" si="14"/>
        <v>303.16654666666682</v>
      </c>
      <c r="K24" s="113">
        <f t="shared" si="14"/>
        <v>303.16654666666682</v>
      </c>
      <c r="L24" s="113">
        <f t="shared" si="14"/>
        <v>303.16654666666682</v>
      </c>
      <c r="M24" s="113">
        <f t="shared" si="14"/>
        <v>303.16654666666682</v>
      </c>
    </row>
  </sheetData>
  <pageMargins left="0.7" right="0.7" top="0.75" bottom="0.75" header="0.3" footer="0.3"/>
  <pageSetup orientation="portrait" horizontalDpi="4294967292" verticalDpi="4294967292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31"/>
  <sheetViews>
    <sheetView zoomScaleNormal="100" zoomScalePageLayoutView="125" workbookViewId="0">
      <selection activeCell="I16" sqref="I16"/>
    </sheetView>
  </sheetViews>
  <sheetFormatPr baseColWidth="10" defaultColWidth="8.83203125" defaultRowHeight="15" x14ac:dyDescent="0.2"/>
  <cols>
    <col min="1" max="1" width="35.5" bestFit="1" customWidth="1"/>
    <col min="2" max="6" width="13.5" bestFit="1" customWidth="1"/>
    <col min="7" max="7" width="9" bestFit="1" customWidth="1"/>
    <col min="8" max="8" width="28.6640625" bestFit="1" customWidth="1"/>
    <col min="9" max="9" width="21.1640625" customWidth="1"/>
    <col min="10" max="10" width="9" bestFit="1" customWidth="1"/>
    <col min="11" max="13" width="10.33203125" bestFit="1" customWidth="1"/>
    <col min="15" max="15" width="32.5" customWidth="1"/>
    <col min="16" max="16" width="11" customWidth="1"/>
  </cols>
  <sheetData>
    <row r="1" spans="1:16" ht="16" x14ac:dyDescent="0.2">
      <c r="A1" s="43" t="s">
        <v>114</v>
      </c>
      <c r="B1" s="37" t="s">
        <v>51</v>
      </c>
      <c r="C1" s="37" t="s">
        <v>52</v>
      </c>
      <c r="D1" s="37" t="s">
        <v>53</v>
      </c>
      <c r="E1" s="37" t="s">
        <v>54</v>
      </c>
      <c r="F1" s="37" t="s">
        <v>55</v>
      </c>
      <c r="G1" s="8"/>
      <c r="H1" s="8"/>
      <c r="I1" s="8"/>
      <c r="J1" s="8"/>
      <c r="K1" s="8"/>
      <c r="L1" s="8"/>
      <c r="M1" s="8"/>
    </row>
    <row r="2" spans="1:16" ht="16" x14ac:dyDescent="0.2">
      <c r="A2" s="38" t="s">
        <v>0</v>
      </c>
      <c r="B2" s="55"/>
      <c r="C2" s="55"/>
      <c r="D2" s="55"/>
      <c r="E2" s="55"/>
      <c r="F2" s="55"/>
      <c r="H2" s="51" t="s">
        <v>104</v>
      </c>
      <c r="I2" s="49">
        <v>0.05</v>
      </c>
      <c r="O2" s="22"/>
      <c r="P2" s="22"/>
    </row>
    <row r="3" spans="1:16" ht="16" x14ac:dyDescent="0.2">
      <c r="A3" s="39" t="s">
        <v>14</v>
      </c>
      <c r="B3" s="56">
        <f>Revenue!$C4 * 12</f>
        <v>17636.400000000001</v>
      </c>
      <c r="C3" s="56">
        <f>SUM(((Revenue!$C$4 * Revenue!$D$4) * 12), $B$3)</f>
        <v>18518.22</v>
      </c>
      <c r="D3" s="56">
        <f>SUM(((Revenue!$C$4 * Revenue!$D$4) * 12), $C$3)</f>
        <v>19400.04</v>
      </c>
      <c r="E3" s="56">
        <f>SUM(((Revenue!$C$4 * Revenue!$D$4) * 12), $D$3)</f>
        <v>20281.86</v>
      </c>
      <c r="F3" s="56">
        <f>SUM(((Revenue!$C$4 * Revenue!$D$4) * 12), $E$3)</f>
        <v>21163.68</v>
      </c>
      <c r="G3" s="8"/>
      <c r="H3" s="52" t="s">
        <v>105</v>
      </c>
      <c r="I3" s="50">
        <v>0.02</v>
      </c>
      <c r="J3" s="8"/>
      <c r="K3" s="8"/>
      <c r="L3" s="8"/>
      <c r="M3" s="8"/>
      <c r="O3" s="22"/>
      <c r="P3" s="22"/>
    </row>
    <row r="4" spans="1:16" ht="16" x14ac:dyDescent="0.2">
      <c r="A4" s="39" t="s">
        <v>2</v>
      </c>
      <c r="B4" s="57">
        <v>0</v>
      </c>
      <c r="C4" s="57">
        <f>(Revenue!$C7) * 12</f>
        <v>-352.72800000000001</v>
      </c>
      <c r="D4" s="57">
        <f>(Revenue!$C7) * 12</f>
        <v>-352.72800000000001</v>
      </c>
      <c r="E4" s="57">
        <f>(Revenue!$C7) * 12</f>
        <v>-352.72800000000001</v>
      </c>
      <c r="F4" s="57">
        <f>(Revenue!$C7) * 12</f>
        <v>-352.72800000000001</v>
      </c>
      <c r="G4" s="17"/>
      <c r="H4" s="52" t="s">
        <v>3</v>
      </c>
      <c r="I4" s="50">
        <v>0.02</v>
      </c>
      <c r="J4" s="17"/>
      <c r="K4" s="17"/>
      <c r="L4" s="17"/>
      <c r="M4" s="17"/>
      <c r="O4" s="22"/>
      <c r="P4" s="22"/>
    </row>
    <row r="5" spans="1:16" ht="16" x14ac:dyDescent="0.2">
      <c r="A5" s="39" t="s">
        <v>3</v>
      </c>
      <c r="B5" s="57">
        <v>0</v>
      </c>
      <c r="C5" s="57">
        <f>(Revenue!$C11) *12</f>
        <v>-345.67344000000003</v>
      </c>
      <c r="D5" s="57">
        <f>(Revenue!$C11) *12</f>
        <v>-345.67344000000003</v>
      </c>
      <c r="E5" s="57">
        <f>(Revenue!$C11) *12</f>
        <v>-345.67344000000003</v>
      </c>
      <c r="F5" s="57">
        <f>(Revenue!$C11) *12</f>
        <v>-345.67344000000003</v>
      </c>
      <c r="G5" s="17"/>
      <c r="H5" s="52" t="s">
        <v>14</v>
      </c>
      <c r="I5" s="53" t="s">
        <v>106</v>
      </c>
      <c r="J5" s="17"/>
      <c r="K5" s="17"/>
      <c r="L5" s="17"/>
      <c r="M5" s="17"/>
      <c r="O5" s="22"/>
      <c r="P5" s="22"/>
    </row>
    <row r="6" spans="1:16" ht="16" x14ac:dyDescent="0.2">
      <c r="A6" s="38" t="s">
        <v>4</v>
      </c>
      <c r="B6" s="57">
        <f>SUM(B3:B5)</f>
        <v>17636.400000000001</v>
      </c>
      <c r="C6" s="56">
        <f>SUM(C3:C5)</f>
        <v>17819.818560000003</v>
      </c>
      <c r="D6" s="56">
        <f t="shared" ref="D6:F6" si="0">SUM(D3:D5)</f>
        <v>18701.638560000003</v>
      </c>
      <c r="E6" s="56">
        <f t="shared" si="0"/>
        <v>19583.458560000003</v>
      </c>
      <c r="F6" s="56">
        <f t="shared" si="0"/>
        <v>20465.278560000002</v>
      </c>
      <c r="G6" s="8"/>
      <c r="H6" s="52" t="s">
        <v>107</v>
      </c>
      <c r="I6" s="54" t="s">
        <v>108</v>
      </c>
      <c r="J6" s="8"/>
      <c r="K6" s="8"/>
      <c r="L6" s="8"/>
      <c r="M6" s="8"/>
      <c r="O6" s="22"/>
      <c r="P6" s="22"/>
    </row>
    <row r="7" spans="1:16" ht="16" x14ac:dyDescent="0.2">
      <c r="A7" s="39"/>
      <c r="B7" s="55"/>
      <c r="C7" s="55"/>
      <c r="D7" s="55"/>
      <c r="E7" s="55"/>
      <c r="F7" s="55"/>
      <c r="H7" s="52" t="s">
        <v>74</v>
      </c>
      <c r="I7" s="60" t="s">
        <v>109</v>
      </c>
      <c r="O7" s="22"/>
      <c r="P7" s="22"/>
    </row>
    <row r="8" spans="1:16" ht="16" x14ac:dyDescent="0.2">
      <c r="A8" s="40" t="s">
        <v>5</v>
      </c>
      <c r="B8" s="55"/>
      <c r="C8" s="55"/>
      <c r="D8" s="55"/>
      <c r="E8" s="55"/>
      <c r="F8" s="55"/>
      <c r="H8" s="58" t="s">
        <v>110</v>
      </c>
      <c r="I8" s="59">
        <v>0.01</v>
      </c>
      <c r="O8" s="22"/>
      <c r="P8" s="22"/>
    </row>
    <row r="9" spans="1:16" x14ac:dyDescent="0.2">
      <c r="A9" s="39" t="s">
        <v>56</v>
      </c>
      <c r="B9" s="56">
        <v>1200</v>
      </c>
      <c r="C9" s="56">
        <v>1200</v>
      </c>
      <c r="D9" s="56">
        <v>1200</v>
      </c>
      <c r="E9" s="56">
        <v>1200</v>
      </c>
      <c r="F9" s="56">
        <v>1200</v>
      </c>
      <c r="G9" s="8"/>
      <c r="H9" s="47"/>
      <c r="I9" s="47"/>
      <c r="J9" s="8"/>
      <c r="K9" s="8"/>
      <c r="L9" s="8"/>
      <c r="M9" s="8"/>
      <c r="O9" s="22"/>
      <c r="P9" s="23"/>
    </row>
    <row r="10" spans="1:16" x14ac:dyDescent="0.2">
      <c r="A10" s="38" t="s">
        <v>6</v>
      </c>
      <c r="B10" s="56">
        <f>B9</f>
        <v>1200</v>
      </c>
      <c r="C10" s="56">
        <f t="shared" ref="C10:F10" si="1">C9</f>
        <v>1200</v>
      </c>
      <c r="D10" s="56">
        <f t="shared" si="1"/>
        <v>1200</v>
      </c>
      <c r="E10" s="56">
        <f t="shared" si="1"/>
        <v>1200</v>
      </c>
      <c r="F10" s="56">
        <f t="shared" si="1"/>
        <v>1200</v>
      </c>
      <c r="G10" s="8"/>
      <c r="H10" s="48"/>
      <c r="I10" s="48"/>
      <c r="J10" s="8"/>
      <c r="K10" s="8"/>
      <c r="L10" s="8"/>
      <c r="M10" s="8"/>
    </row>
    <row r="11" spans="1:16" x14ac:dyDescent="0.2">
      <c r="A11" s="39"/>
      <c r="B11" s="55"/>
      <c r="C11" s="55"/>
      <c r="D11" s="55"/>
      <c r="E11" s="55"/>
      <c r="F11" s="55"/>
      <c r="H11" s="47"/>
      <c r="I11" s="47"/>
    </row>
    <row r="12" spans="1:16" x14ac:dyDescent="0.2">
      <c r="A12" s="38" t="s">
        <v>7</v>
      </c>
      <c r="B12" s="57">
        <f>SUM(B6,B10)</f>
        <v>18836.400000000001</v>
      </c>
      <c r="C12" s="57">
        <f t="shared" ref="C12:F12" si="2">SUM(C6,C10)</f>
        <v>19019.818560000003</v>
      </c>
      <c r="D12" s="57">
        <f t="shared" si="2"/>
        <v>19901.638560000003</v>
      </c>
      <c r="E12" s="57">
        <f t="shared" si="2"/>
        <v>20783.458560000003</v>
      </c>
      <c r="F12" s="57">
        <f t="shared" si="2"/>
        <v>21665.278560000002</v>
      </c>
      <c r="G12" s="17"/>
      <c r="H12" s="47"/>
      <c r="I12" s="47"/>
      <c r="J12" s="17"/>
      <c r="K12" s="17"/>
      <c r="L12" s="17"/>
      <c r="M12" s="17"/>
    </row>
    <row r="13" spans="1:16" ht="16" x14ac:dyDescent="0.2">
      <c r="A13" s="39"/>
      <c r="B13" s="55"/>
      <c r="C13" s="55"/>
      <c r="D13" s="55"/>
      <c r="E13" s="55"/>
      <c r="F13" s="55"/>
      <c r="H13" s="45"/>
      <c r="I13" s="46"/>
      <c r="O13" s="7"/>
    </row>
    <row r="14" spans="1:16" ht="16" x14ac:dyDescent="0.2">
      <c r="A14" s="40" t="s">
        <v>8</v>
      </c>
      <c r="B14" s="55"/>
      <c r="C14" s="55"/>
      <c r="D14" s="55"/>
      <c r="E14" s="55"/>
      <c r="F14" s="55"/>
      <c r="H14" s="45"/>
      <c r="I14" s="46"/>
    </row>
    <row r="15" spans="1:16" ht="16" x14ac:dyDescent="0.2">
      <c r="A15" s="39" t="s">
        <v>9</v>
      </c>
      <c r="B15" s="56">
        <f>200000 * 0.0135</f>
        <v>2700</v>
      </c>
      <c r="C15" s="56">
        <f>SUM((B15 * 0.01), B15)</f>
        <v>2727</v>
      </c>
      <c r="D15" s="56">
        <f t="shared" ref="D15:F15" si="3">SUM((C15 * 0.01), C15)</f>
        <v>2754.27</v>
      </c>
      <c r="E15" s="56">
        <f t="shared" si="3"/>
        <v>2781.8126999999999</v>
      </c>
      <c r="F15" s="56">
        <f t="shared" si="3"/>
        <v>2809.630827</v>
      </c>
      <c r="G15" s="8"/>
      <c r="H15" s="45"/>
      <c r="I15" s="46"/>
      <c r="J15" s="8"/>
      <c r="K15" s="8"/>
      <c r="L15" s="8"/>
      <c r="M15" s="8"/>
    </row>
    <row r="16" spans="1:16" ht="16" x14ac:dyDescent="0.2">
      <c r="A16" s="39" t="s">
        <v>10</v>
      </c>
      <c r="B16" s="57">
        <v>1000</v>
      </c>
      <c r="C16" s="57">
        <v>1000</v>
      </c>
      <c r="D16" s="57">
        <v>1000</v>
      </c>
      <c r="E16" s="57">
        <v>1000</v>
      </c>
      <c r="F16" s="57">
        <v>1000</v>
      </c>
      <c r="G16" s="17"/>
      <c r="H16" s="45"/>
      <c r="I16" s="46"/>
      <c r="J16" s="17"/>
      <c r="K16" s="17"/>
      <c r="L16" s="17"/>
      <c r="M16" s="17"/>
    </row>
    <row r="17" spans="1:9" ht="16" x14ac:dyDescent="0.2">
      <c r="A17" s="38" t="s">
        <v>11</v>
      </c>
      <c r="B17" s="56">
        <f>SUM(B15:B16)</f>
        <v>3700</v>
      </c>
      <c r="C17" s="56">
        <f>SUM(C15:C16)</f>
        <v>3727</v>
      </c>
      <c r="D17" s="56">
        <f>SUM(D15:D16)</f>
        <v>3754.27</v>
      </c>
      <c r="E17" s="56">
        <f>SUM(E15:E16)</f>
        <v>3781.8126999999999</v>
      </c>
      <c r="F17" s="56">
        <f>SUM(F15:F16)</f>
        <v>3809.630827</v>
      </c>
      <c r="H17" s="45"/>
      <c r="I17" s="46"/>
    </row>
    <row r="18" spans="1:9" ht="16" x14ac:dyDescent="0.2">
      <c r="A18" s="39"/>
      <c r="B18" s="55"/>
      <c r="C18" s="55"/>
      <c r="D18" s="55"/>
      <c r="E18" s="55"/>
      <c r="F18" s="55"/>
      <c r="H18" s="45"/>
      <c r="I18" s="46"/>
    </row>
    <row r="19" spans="1:9" x14ac:dyDescent="0.2">
      <c r="A19" s="38" t="s">
        <v>1</v>
      </c>
      <c r="B19" s="57">
        <f>SUM(B12 - B17)</f>
        <v>15136.400000000001</v>
      </c>
      <c r="C19" s="56">
        <f>SUM((B19 * 0.05), B19)</f>
        <v>15893.220000000001</v>
      </c>
      <c r="D19" s="56">
        <f t="shared" ref="D19:F19" si="4">SUM((C19 * 0.05), C19)</f>
        <v>16687.881000000001</v>
      </c>
      <c r="E19" s="56">
        <f t="shared" si="4"/>
        <v>17522.27505</v>
      </c>
      <c r="F19" s="56">
        <f t="shared" si="4"/>
        <v>18398.388802500001</v>
      </c>
    </row>
    <row r="20" spans="1:9" x14ac:dyDescent="0.2">
      <c r="A20" s="40"/>
      <c r="B20" s="55"/>
      <c r="C20" s="55"/>
      <c r="D20" s="55"/>
      <c r="E20" s="55"/>
      <c r="F20" s="55"/>
    </row>
    <row r="21" spans="1:9" x14ac:dyDescent="0.2">
      <c r="A21" s="40" t="s">
        <v>12</v>
      </c>
      <c r="B21" s="55"/>
      <c r="C21" s="55"/>
      <c r="D21" s="55"/>
      <c r="E21" s="55"/>
      <c r="F21" s="55"/>
    </row>
    <row r="22" spans="1:9" x14ac:dyDescent="0.2">
      <c r="A22" s="39" t="s">
        <v>73</v>
      </c>
      <c r="B22" s="56">
        <f>900 * 12</f>
        <v>10800</v>
      </c>
      <c r="C22" s="56">
        <f>SUM((B22 * 0.01), B22)</f>
        <v>10908</v>
      </c>
      <c r="D22" s="56">
        <f t="shared" ref="D22:F22" si="5">SUM((C22 * 0.01), C22)</f>
        <v>11017.08</v>
      </c>
      <c r="E22" s="56">
        <f t="shared" si="5"/>
        <v>11127.2508</v>
      </c>
      <c r="F22" s="56">
        <f t="shared" si="5"/>
        <v>11238.523308</v>
      </c>
      <c r="G22" s="8"/>
    </row>
    <row r="23" spans="1:9" x14ac:dyDescent="0.2">
      <c r="A23" s="39"/>
      <c r="B23" s="55"/>
      <c r="C23" s="55"/>
      <c r="D23" s="55"/>
      <c r="E23" s="55"/>
      <c r="F23" s="55"/>
    </row>
    <row r="24" spans="1:9" x14ac:dyDescent="0.2">
      <c r="A24" s="41" t="s">
        <v>13</v>
      </c>
      <c r="B24" s="57">
        <f>SUM(B22-B19)</f>
        <v>-4336.4000000000015</v>
      </c>
      <c r="C24" s="57">
        <f t="shared" ref="C24:F24" si="6">SUM(C22-C19)</f>
        <v>-4985.2200000000012</v>
      </c>
      <c r="D24" s="57">
        <f t="shared" si="6"/>
        <v>-5670.8010000000013</v>
      </c>
      <c r="E24" s="57">
        <f t="shared" si="6"/>
        <v>-6395.0242500000004</v>
      </c>
      <c r="F24" s="57">
        <f t="shared" si="6"/>
        <v>-7159.8654945000017</v>
      </c>
    </row>
    <row r="27" spans="1:9" ht="16" x14ac:dyDescent="0.2">
      <c r="H27" s="45"/>
      <c r="I27" s="46"/>
    </row>
    <row r="28" spans="1:9" ht="16" x14ac:dyDescent="0.2">
      <c r="H28" s="45"/>
      <c r="I28" s="46"/>
    </row>
    <row r="29" spans="1:9" ht="16" x14ac:dyDescent="0.2">
      <c r="H29" s="45"/>
      <c r="I29" s="46"/>
    </row>
    <row r="30" spans="1:9" ht="16" x14ac:dyDescent="0.2">
      <c r="H30" s="45"/>
      <c r="I30" s="46"/>
    </row>
    <row r="31" spans="1:9" ht="16" x14ac:dyDescent="0.2">
      <c r="H31" s="45"/>
      <c r="I31" s="46"/>
    </row>
  </sheetData>
  <dataValidations count="1">
    <dataValidation type="list" allowBlank="1" showInputMessage="1" showErrorMessage="1" sqref="I16" xr:uid="{00000000-0002-0000-0200-000000000000}">
      <formula1>$R$12:$R$13</formula1>
    </dataValidation>
  </dataValidations>
  <pageMargins left="0.7" right="0.7" top="0.75" bottom="0.75" header="0.3" footer="0.3"/>
  <pageSetup orientation="portrait" horizontalDpi="4294967294" verticalDpi="4294967294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G26"/>
  <sheetViews>
    <sheetView zoomScale="133" zoomScaleNormal="133" zoomScalePageLayoutView="125" workbookViewId="0">
      <selection activeCell="I6" sqref="I6"/>
    </sheetView>
  </sheetViews>
  <sheetFormatPr baseColWidth="10" defaultColWidth="8.83203125" defaultRowHeight="15" x14ac:dyDescent="0.2"/>
  <cols>
    <col min="1" max="1" width="12.6640625" customWidth="1"/>
    <col min="2" max="2" width="40.6640625" bestFit="1" customWidth="1"/>
    <col min="3" max="3" width="11.6640625" bestFit="1" customWidth="1"/>
    <col min="6" max="6" width="25.6640625" bestFit="1" customWidth="1"/>
    <col min="7" max="7" width="10.33203125" customWidth="1"/>
  </cols>
  <sheetData>
    <row r="2" spans="1:7" x14ac:dyDescent="0.2">
      <c r="A2" s="11" t="s">
        <v>23</v>
      </c>
      <c r="B2" s="9" t="s">
        <v>20</v>
      </c>
      <c r="C2" s="10">
        <v>1.42</v>
      </c>
      <c r="F2" s="3" t="s">
        <v>29</v>
      </c>
      <c r="G2" s="4" t="s">
        <v>31</v>
      </c>
    </row>
    <row r="3" spans="1:7" x14ac:dyDescent="0.2">
      <c r="B3" s="9" t="s">
        <v>24</v>
      </c>
      <c r="C3" s="9">
        <v>1035</v>
      </c>
      <c r="F3" s="1" t="s">
        <v>15</v>
      </c>
      <c r="G3" s="2">
        <v>1035</v>
      </c>
    </row>
    <row r="4" spans="1:7" x14ac:dyDescent="0.2">
      <c r="B4" s="9" t="s">
        <v>21</v>
      </c>
      <c r="C4" s="10">
        <v>1469.7</v>
      </c>
      <c r="D4" s="15">
        <v>0.05</v>
      </c>
      <c r="F4" s="1" t="s">
        <v>16</v>
      </c>
      <c r="G4" s="2">
        <v>3</v>
      </c>
    </row>
    <row r="5" spans="1:7" x14ac:dyDescent="0.2">
      <c r="F5" s="1" t="s">
        <v>17</v>
      </c>
      <c r="G5" s="2">
        <v>1</v>
      </c>
    </row>
    <row r="6" spans="1:7" x14ac:dyDescent="0.2">
      <c r="A6" s="11" t="s">
        <v>25</v>
      </c>
      <c r="B6" s="9" t="s">
        <v>21</v>
      </c>
      <c r="C6" s="10">
        <f>C4</f>
        <v>1469.7</v>
      </c>
      <c r="F6" s="1" t="s">
        <v>38</v>
      </c>
      <c r="G6" s="2">
        <v>12</v>
      </c>
    </row>
    <row r="7" spans="1:7" x14ac:dyDescent="0.2">
      <c r="B7" s="14" t="s">
        <v>33</v>
      </c>
      <c r="C7" s="13">
        <f>-D7 * C6</f>
        <v>-29.394000000000002</v>
      </c>
      <c r="D7" s="16">
        <v>0.02</v>
      </c>
      <c r="F7" s="5" t="s">
        <v>30</v>
      </c>
      <c r="G7" s="2"/>
    </row>
    <row r="8" spans="1:7" x14ac:dyDescent="0.2">
      <c r="B8" s="9" t="s">
        <v>26</v>
      </c>
      <c r="C8" s="13">
        <f>SUM(C6, C7)</f>
        <v>1440.306</v>
      </c>
      <c r="F8" s="5" t="s">
        <v>18</v>
      </c>
      <c r="G8" s="6">
        <v>2</v>
      </c>
    </row>
    <row r="9" spans="1:7" x14ac:dyDescent="0.2">
      <c r="F9" s="5" t="s">
        <v>28</v>
      </c>
      <c r="G9" s="12">
        <v>1474</v>
      </c>
    </row>
    <row r="10" spans="1:7" x14ac:dyDescent="0.2">
      <c r="A10" s="11" t="s">
        <v>27</v>
      </c>
      <c r="B10" s="9" t="s">
        <v>21</v>
      </c>
      <c r="C10" s="13">
        <f>C8</f>
        <v>1440.306</v>
      </c>
      <c r="E10" t="s">
        <v>35</v>
      </c>
    </row>
    <row r="11" spans="1:7" x14ac:dyDescent="0.2">
      <c r="B11" s="14" t="s">
        <v>34</v>
      </c>
      <c r="C11" s="13">
        <f>-C10*D11</f>
        <v>-28.80612</v>
      </c>
      <c r="D11" s="15">
        <v>0.02</v>
      </c>
    </row>
    <row r="12" spans="1:7" x14ac:dyDescent="0.2">
      <c r="B12" s="9" t="s">
        <v>37</v>
      </c>
      <c r="C12" s="13">
        <f>SUM(C10,C11)</f>
        <v>1411.4998800000001</v>
      </c>
    </row>
    <row r="15" spans="1:7" x14ac:dyDescent="0.2">
      <c r="A15" s="11" t="s">
        <v>65</v>
      </c>
      <c r="B15" s="9" t="s">
        <v>68</v>
      </c>
      <c r="C15" s="10">
        <v>45</v>
      </c>
    </row>
    <row r="16" spans="1:7" x14ac:dyDescent="0.2">
      <c r="A16" s="24"/>
      <c r="B16" s="9" t="s">
        <v>69</v>
      </c>
      <c r="C16" s="9">
        <v>6</v>
      </c>
    </row>
    <row r="17" spans="1:4" x14ac:dyDescent="0.2">
      <c r="B17" s="9" t="s">
        <v>70</v>
      </c>
      <c r="C17" s="9">
        <v>30</v>
      </c>
    </row>
    <row r="18" spans="1:4" x14ac:dyDescent="0.2">
      <c r="B18" s="9" t="s">
        <v>21</v>
      </c>
      <c r="C18" s="10">
        <f>(C15*C16) * 30</f>
        <v>8100</v>
      </c>
      <c r="D18" s="15">
        <v>0.05</v>
      </c>
    </row>
    <row r="20" spans="1:4" x14ac:dyDescent="0.2">
      <c r="A20" s="11" t="s">
        <v>66</v>
      </c>
      <c r="B20" s="9" t="s">
        <v>21</v>
      </c>
      <c r="C20" s="10">
        <f>C18</f>
        <v>8100</v>
      </c>
    </row>
    <row r="21" spans="1:4" x14ac:dyDescent="0.2">
      <c r="B21" s="14" t="s">
        <v>33</v>
      </c>
      <c r="C21" s="13">
        <f>-D21 * C20</f>
        <v>-810</v>
      </c>
      <c r="D21" s="16">
        <v>0.1</v>
      </c>
    </row>
    <row r="22" spans="1:4" x14ac:dyDescent="0.2">
      <c r="B22" s="9" t="s">
        <v>26</v>
      </c>
      <c r="C22" s="13">
        <f>SUM(C20, C21)</f>
        <v>7290</v>
      </c>
    </row>
    <row r="24" spans="1:4" x14ac:dyDescent="0.2">
      <c r="A24" s="11" t="s">
        <v>67</v>
      </c>
      <c r="B24" s="9" t="s">
        <v>21</v>
      </c>
      <c r="C24" s="13">
        <f>C22</f>
        <v>7290</v>
      </c>
    </row>
    <row r="25" spans="1:4" x14ac:dyDescent="0.2">
      <c r="B25" s="14" t="s">
        <v>34</v>
      </c>
      <c r="C25" s="13">
        <f>-C24*D25</f>
        <v>-364.5</v>
      </c>
      <c r="D25" s="15">
        <v>0.05</v>
      </c>
    </row>
    <row r="26" spans="1:4" x14ac:dyDescent="0.2">
      <c r="B26" s="9" t="s">
        <v>37</v>
      </c>
      <c r="C26" s="13">
        <f>SUM(C24,C25)</f>
        <v>6925.5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8"/>
  <sheetViews>
    <sheetView topLeftCell="A4" zoomScaleNormal="100" zoomScalePageLayoutView="125" workbookViewId="0">
      <selection activeCell="Q17" sqref="Q17"/>
    </sheetView>
  </sheetViews>
  <sheetFormatPr baseColWidth="10" defaultColWidth="11.5" defaultRowHeight="15" x14ac:dyDescent="0.2"/>
  <cols>
    <col min="1" max="1" width="47.5" customWidth="1"/>
    <col min="2" max="13" width="12" bestFit="1" customWidth="1"/>
  </cols>
  <sheetData>
    <row r="1" spans="1:13" ht="16" x14ac:dyDescent="0.2">
      <c r="A1" s="44" t="s">
        <v>76</v>
      </c>
      <c r="B1" s="106" t="s">
        <v>39</v>
      </c>
      <c r="C1" s="106" t="s">
        <v>40</v>
      </c>
      <c r="D1" s="106" t="s">
        <v>41</v>
      </c>
      <c r="E1" s="106" t="s">
        <v>42</v>
      </c>
      <c r="F1" s="106" t="s">
        <v>43</v>
      </c>
      <c r="G1" s="106" t="s">
        <v>44</v>
      </c>
      <c r="H1" s="106" t="s">
        <v>45</v>
      </c>
      <c r="I1" s="106" t="s">
        <v>46</v>
      </c>
      <c r="J1" s="106" t="s">
        <v>47</v>
      </c>
      <c r="K1" s="106" t="s">
        <v>48</v>
      </c>
      <c r="L1" s="106" t="s">
        <v>49</v>
      </c>
      <c r="M1" s="106" t="s">
        <v>50</v>
      </c>
    </row>
    <row r="2" spans="1:13" ht="16" x14ac:dyDescent="0.2">
      <c r="A2" s="107" t="s">
        <v>0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</row>
    <row r="3" spans="1:13" ht="16" x14ac:dyDescent="0.2">
      <c r="A3" s="109" t="s">
        <v>63</v>
      </c>
      <c r="B3" s="111">
        <f>Revenue!$C18</f>
        <v>8100</v>
      </c>
      <c r="C3" s="111">
        <f>Revenue!$C18</f>
        <v>8100</v>
      </c>
      <c r="D3" s="111">
        <f>Revenue!$C18</f>
        <v>8100</v>
      </c>
      <c r="E3" s="111">
        <f>Revenue!$C18</f>
        <v>8100</v>
      </c>
      <c r="F3" s="111">
        <f>Revenue!$C18</f>
        <v>8100</v>
      </c>
      <c r="G3" s="111">
        <f>Revenue!$C18</f>
        <v>8100</v>
      </c>
      <c r="H3" s="111">
        <f>Revenue!$C18</f>
        <v>8100</v>
      </c>
      <c r="I3" s="111">
        <f>Revenue!$C18</f>
        <v>8100</v>
      </c>
      <c r="J3" s="111">
        <f>Revenue!$C18</f>
        <v>8100</v>
      </c>
      <c r="K3" s="111">
        <f>Revenue!$C18</f>
        <v>8100</v>
      </c>
      <c r="L3" s="111">
        <f>Revenue!$C18</f>
        <v>8100</v>
      </c>
      <c r="M3" s="111">
        <f>Revenue!$C18</f>
        <v>8100</v>
      </c>
    </row>
    <row r="4" spans="1:13" ht="16" x14ac:dyDescent="0.2">
      <c r="A4" s="109" t="s">
        <v>2</v>
      </c>
      <c r="B4" s="112">
        <v>0</v>
      </c>
      <c r="C4" s="113">
        <f>Revenue!$C21</f>
        <v>-810</v>
      </c>
      <c r="D4" s="113">
        <f>Revenue!$C21</f>
        <v>-810</v>
      </c>
      <c r="E4" s="113">
        <f>Revenue!$C21</f>
        <v>-810</v>
      </c>
      <c r="F4" s="113">
        <f>Revenue!$C21</f>
        <v>-810</v>
      </c>
      <c r="G4" s="113">
        <f>Revenue!$C21</f>
        <v>-810</v>
      </c>
      <c r="H4" s="113">
        <f>Revenue!$C21</f>
        <v>-810</v>
      </c>
      <c r="I4" s="113">
        <f>Revenue!$C21</f>
        <v>-810</v>
      </c>
      <c r="J4" s="113">
        <f>Revenue!$C21</f>
        <v>-810</v>
      </c>
      <c r="K4" s="113">
        <f>Revenue!$C21</f>
        <v>-810</v>
      </c>
      <c r="L4" s="113">
        <f>Revenue!$C21</f>
        <v>-810</v>
      </c>
      <c r="M4" s="113">
        <f>Revenue!$C21</f>
        <v>-810</v>
      </c>
    </row>
    <row r="5" spans="1:13" ht="16" x14ac:dyDescent="0.2">
      <c r="A5" s="109" t="s">
        <v>3</v>
      </c>
      <c r="B5" s="112">
        <v>0</v>
      </c>
      <c r="C5" s="113">
        <f>Revenue!$C25</f>
        <v>-364.5</v>
      </c>
      <c r="D5" s="113">
        <f>Revenue!$C25</f>
        <v>-364.5</v>
      </c>
      <c r="E5" s="113">
        <f>Revenue!$C25</f>
        <v>-364.5</v>
      </c>
      <c r="F5" s="113">
        <f>Revenue!$C25</f>
        <v>-364.5</v>
      </c>
      <c r="G5" s="113">
        <f>Revenue!$C25</f>
        <v>-364.5</v>
      </c>
      <c r="H5" s="113">
        <f>Revenue!$C25</f>
        <v>-364.5</v>
      </c>
      <c r="I5" s="113">
        <f>Revenue!$C25</f>
        <v>-364.5</v>
      </c>
      <c r="J5" s="113">
        <f>Revenue!$C25</f>
        <v>-364.5</v>
      </c>
      <c r="K5" s="113">
        <f>Revenue!$C25</f>
        <v>-364.5</v>
      </c>
      <c r="L5" s="113">
        <f>Revenue!$C25</f>
        <v>-364.5</v>
      </c>
      <c r="M5" s="113">
        <f>Revenue!$C25</f>
        <v>-364.5</v>
      </c>
    </row>
    <row r="6" spans="1:13" ht="16" x14ac:dyDescent="0.2">
      <c r="A6" s="107" t="s">
        <v>4</v>
      </c>
      <c r="B6" s="111">
        <f>SUM(B3:B5)</f>
        <v>8100</v>
      </c>
      <c r="C6" s="111">
        <f>SUM(C3:C5)</f>
        <v>6925.5</v>
      </c>
      <c r="D6" s="111">
        <f t="shared" ref="D6:M6" si="0">SUM(D3:D5)</f>
        <v>6925.5</v>
      </c>
      <c r="E6" s="111">
        <f t="shared" si="0"/>
        <v>6925.5</v>
      </c>
      <c r="F6" s="111">
        <f t="shared" si="0"/>
        <v>6925.5</v>
      </c>
      <c r="G6" s="111">
        <f t="shared" si="0"/>
        <v>6925.5</v>
      </c>
      <c r="H6" s="111">
        <f t="shared" si="0"/>
        <v>6925.5</v>
      </c>
      <c r="I6" s="111">
        <f t="shared" si="0"/>
        <v>6925.5</v>
      </c>
      <c r="J6" s="111">
        <f t="shared" si="0"/>
        <v>6925.5</v>
      </c>
      <c r="K6" s="111">
        <f t="shared" si="0"/>
        <v>6925.5</v>
      </c>
      <c r="L6" s="111">
        <f t="shared" si="0"/>
        <v>6925.5</v>
      </c>
      <c r="M6" s="111">
        <f t="shared" si="0"/>
        <v>6925.5</v>
      </c>
    </row>
    <row r="7" spans="1:13" ht="16" x14ac:dyDescent="0.2">
      <c r="A7" s="109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</row>
    <row r="8" spans="1:13" ht="16" x14ac:dyDescent="0.2">
      <c r="A8" s="110" t="s">
        <v>5</v>
      </c>
      <c r="B8" s="112"/>
      <c r="C8" s="112"/>
      <c r="D8" s="112"/>
      <c r="E8" s="112"/>
      <c r="F8" s="112"/>
      <c r="G8" s="112"/>
      <c r="H8" s="112"/>
      <c r="I8" s="112"/>
      <c r="J8" s="112"/>
      <c r="K8" s="112"/>
      <c r="L8" s="112"/>
      <c r="M8" s="112"/>
    </row>
    <row r="9" spans="1:13" ht="16" x14ac:dyDescent="0.2">
      <c r="A9" s="109" t="s">
        <v>56</v>
      </c>
      <c r="B9" s="111">
        <v>100</v>
      </c>
      <c r="C9" s="111">
        <v>100</v>
      </c>
      <c r="D9" s="111">
        <v>100</v>
      </c>
      <c r="E9" s="111">
        <v>100</v>
      </c>
      <c r="F9" s="111">
        <v>100</v>
      </c>
      <c r="G9" s="111">
        <v>100</v>
      </c>
      <c r="H9" s="111">
        <v>100</v>
      </c>
      <c r="I9" s="111">
        <v>100</v>
      </c>
      <c r="J9" s="111">
        <v>100</v>
      </c>
      <c r="K9" s="111">
        <v>100</v>
      </c>
      <c r="L9" s="111">
        <v>100</v>
      </c>
      <c r="M9" s="111">
        <v>100</v>
      </c>
    </row>
    <row r="10" spans="1:13" ht="16" x14ac:dyDescent="0.2">
      <c r="A10" s="107" t="s">
        <v>6</v>
      </c>
      <c r="B10" s="111">
        <f>B9</f>
        <v>100</v>
      </c>
      <c r="C10" s="111">
        <f t="shared" ref="C10:M10" si="1">C9</f>
        <v>100</v>
      </c>
      <c r="D10" s="111">
        <f t="shared" si="1"/>
        <v>100</v>
      </c>
      <c r="E10" s="111">
        <f t="shared" si="1"/>
        <v>100</v>
      </c>
      <c r="F10" s="111">
        <f t="shared" si="1"/>
        <v>100</v>
      </c>
      <c r="G10" s="111">
        <f t="shared" si="1"/>
        <v>100</v>
      </c>
      <c r="H10" s="111">
        <f t="shared" si="1"/>
        <v>100</v>
      </c>
      <c r="I10" s="111">
        <f t="shared" si="1"/>
        <v>100</v>
      </c>
      <c r="J10" s="111">
        <f t="shared" si="1"/>
        <v>100</v>
      </c>
      <c r="K10" s="111">
        <f t="shared" si="1"/>
        <v>100</v>
      </c>
      <c r="L10" s="111">
        <f t="shared" si="1"/>
        <v>100</v>
      </c>
      <c r="M10" s="111">
        <f t="shared" si="1"/>
        <v>100</v>
      </c>
    </row>
    <row r="11" spans="1:13" ht="16" x14ac:dyDescent="0.2">
      <c r="A11" s="109"/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</row>
    <row r="12" spans="1:13" ht="16" x14ac:dyDescent="0.2">
      <c r="A12" s="107" t="s">
        <v>7</v>
      </c>
      <c r="B12" s="111">
        <f>SUM(B6-B10)</f>
        <v>8000</v>
      </c>
      <c r="C12" s="111">
        <f t="shared" ref="C12:M12" si="2">SUM(C6-C10)</f>
        <v>6825.5</v>
      </c>
      <c r="D12" s="111">
        <f t="shared" si="2"/>
        <v>6825.5</v>
      </c>
      <c r="E12" s="111">
        <f t="shared" si="2"/>
        <v>6825.5</v>
      </c>
      <c r="F12" s="111">
        <f t="shared" si="2"/>
        <v>6825.5</v>
      </c>
      <c r="G12" s="111">
        <f t="shared" si="2"/>
        <v>6825.5</v>
      </c>
      <c r="H12" s="111">
        <f t="shared" si="2"/>
        <v>6825.5</v>
      </c>
      <c r="I12" s="111">
        <f t="shared" si="2"/>
        <v>6825.5</v>
      </c>
      <c r="J12" s="111">
        <f t="shared" si="2"/>
        <v>6825.5</v>
      </c>
      <c r="K12" s="111">
        <f t="shared" si="2"/>
        <v>6825.5</v>
      </c>
      <c r="L12" s="111">
        <f t="shared" si="2"/>
        <v>6825.5</v>
      </c>
      <c r="M12" s="111">
        <f t="shared" si="2"/>
        <v>6825.5</v>
      </c>
    </row>
    <row r="13" spans="1:13" ht="16" x14ac:dyDescent="0.2">
      <c r="A13" s="109"/>
      <c r="B13" s="112"/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</row>
    <row r="14" spans="1:13" ht="16" x14ac:dyDescent="0.2">
      <c r="A14" s="110" t="s">
        <v>8</v>
      </c>
      <c r="B14" s="112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</row>
    <row r="15" spans="1:13" ht="16" x14ac:dyDescent="0.2">
      <c r="A15" s="109" t="s">
        <v>9</v>
      </c>
      <c r="B15" s="118">
        <f>(200000 * 0.0135) / 12</f>
        <v>225</v>
      </c>
      <c r="C15" s="118">
        <f t="shared" ref="C15:M15" si="3">(200000 * 0.0135) / 12</f>
        <v>225</v>
      </c>
      <c r="D15" s="118">
        <f t="shared" si="3"/>
        <v>225</v>
      </c>
      <c r="E15" s="118">
        <f t="shared" si="3"/>
        <v>225</v>
      </c>
      <c r="F15" s="118">
        <f t="shared" si="3"/>
        <v>225</v>
      </c>
      <c r="G15" s="118">
        <f t="shared" si="3"/>
        <v>225</v>
      </c>
      <c r="H15" s="118">
        <f t="shared" si="3"/>
        <v>225</v>
      </c>
      <c r="I15" s="118">
        <f t="shared" si="3"/>
        <v>225</v>
      </c>
      <c r="J15" s="118">
        <f t="shared" si="3"/>
        <v>225</v>
      </c>
      <c r="K15" s="118">
        <f t="shared" si="3"/>
        <v>225</v>
      </c>
      <c r="L15" s="118">
        <f t="shared" si="3"/>
        <v>225</v>
      </c>
      <c r="M15" s="118">
        <f t="shared" si="3"/>
        <v>225</v>
      </c>
    </row>
    <row r="16" spans="1:13" ht="16" x14ac:dyDescent="0.2">
      <c r="A16" s="109" t="s">
        <v>10</v>
      </c>
      <c r="B16" s="118">
        <f>1000/12</f>
        <v>83.333333333333329</v>
      </c>
      <c r="C16" s="118">
        <f t="shared" ref="C16:M16" si="4">1000/12</f>
        <v>83.333333333333329</v>
      </c>
      <c r="D16" s="118">
        <f t="shared" si="4"/>
        <v>83.333333333333329</v>
      </c>
      <c r="E16" s="118">
        <f t="shared" si="4"/>
        <v>83.333333333333329</v>
      </c>
      <c r="F16" s="118">
        <f t="shared" si="4"/>
        <v>83.333333333333329</v>
      </c>
      <c r="G16" s="118">
        <f t="shared" si="4"/>
        <v>83.333333333333329</v>
      </c>
      <c r="H16" s="118">
        <f t="shared" si="4"/>
        <v>83.333333333333329</v>
      </c>
      <c r="I16" s="118">
        <f t="shared" si="4"/>
        <v>83.333333333333329</v>
      </c>
      <c r="J16" s="118">
        <f t="shared" si="4"/>
        <v>83.333333333333329</v>
      </c>
      <c r="K16" s="118">
        <f t="shared" si="4"/>
        <v>83.333333333333329</v>
      </c>
      <c r="L16" s="118">
        <f t="shared" si="4"/>
        <v>83.333333333333329</v>
      </c>
      <c r="M16" s="118">
        <f t="shared" si="4"/>
        <v>83.333333333333329</v>
      </c>
    </row>
    <row r="17" spans="1:13" ht="16" x14ac:dyDescent="0.2">
      <c r="A17" s="109" t="s">
        <v>61</v>
      </c>
      <c r="B17" s="113">
        <v>300</v>
      </c>
      <c r="C17" s="113">
        <v>300</v>
      </c>
      <c r="D17" s="113">
        <v>300</v>
      </c>
      <c r="E17" s="113">
        <v>300</v>
      </c>
      <c r="F17" s="113">
        <v>300</v>
      </c>
      <c r="G17" s="113">
        <v>300</v>
      </c>
      <c r="H17" s="113">
        <v>300</v>
      </c>
      <c r="I17" s="113">
        <v>300</v>
      </c>
      <c r="J17" s="113">
        <v>300</v>
      </c>
      <c r="K17" s="113">
        <v>300</v>
      </c>
      <c r="L17" s="113">
        <v>300</v>
      </c>
      <c r="M17" s="113">
        <v>300</v>
      </c>
    </row>
    <row r="18" spans="1:13" ht="16" x14ac:dyDescent="0.2">
      <c r="A18" s="109" t="s">
        <v>115</v>
      </c>
      <c r="B18" s="113">
        <v>200</v>
      </c>
      <c r="C18" s="113">
        <v>200</v>
      </c>
      <c r="D18" s="113">
        <v>200</v>
      </c>
      <c r="E18" s="113">
        <v>200</v>
      </c>
      <c r="F18" s="113">
        <v>200</v>
      </c>
      <c r="G18" s="113">
        <v>200</v>
      </c>
      <c r="H18" s="113">
        <v>200</v>
      </c>
      <c r="I18" s="113">
        <v>200</v>
      </c>
      <c r="J18" s="113">
        <v>200</v>
      </c>
      <c r="K18" s="113">
        <v>200</v>
      </c>
      <c r="L18" s="113">
        <v>200</v>
      </c>
      <c r="M18" s="113">
        <v>200</v>
      </c>
    </row>
    <row r="19" spans="1:13" ht="16" x14ac:dyDescent="0.2">
      <c r="A19" s="109" t="s">
        <v>72</v>
      </c>
      <c r="B19" s="113">
        <v>200</v>
      </c>
      <c r="C19" s="113">
        <v>200</v>
      </c>
      <c r="D19" s="113">
        <v>200</v>
      </c>
      <c r="E19" s="113">
        <v>200</v>
      </c>
      <c r="F19" s="113">
        <v>200</v>
      </c>
      <c r="G19" s="113">
        <v>200</v>
      </c>
      <c r="H19" s="113">
        <v>200</v>
      </c>
      <c r="I19" s="113">
        <v>200</v>
      </c>
      <c r="J19" s="113">
        <v>200</v>
      </c>
      <c r="K19" s="113">
        <v>200</v>
      </c>
      <c r="L19" s="113">
        <v>200</v>
      </c>
      <c r="M19" s="113">
        <v>200</v>
      </c>
    </row>
    <row r="20" spans="1:13" ht="16" x14ac:dyDescent="0.2">
      <c r="A20" s="109" t="s">
        <v>62</v>
      </c>
      <c r="B20" s="111">
        <v>500</v>
      </c>
      <c r="C20" s="111">
        <v>500</v>
      </c>
      <c r="D20" s="111">
        <v>500</v>
      </c>
      <c r="E20" s="111">
        <v>500</v>
      </c>
      <c r="F20" s="111">
        <v>500</v>
      </c>
      <c r="G20" s="111">
        <v>500</v>
      </c>
      <c r="H20" s="111">
        <v>500</v>
      </c>
      <c r="I20" s="111">
        <v>500</v>
      </c>
      <c r="J20" s="111">
        <v>500</v>
      </c>
      <c r="K20" s="111">
        <v>500</v>
      </c>
      <c r="L20" s="111">
        <v>500</v>
      </c>
      <c r="M20" s="111">
        <v>500</v>
      </c>
    </row>
    <row r="21" spans="1:13" ht="16" x14ac:dyDescent="0.2">
      <c r="A21" s="107" t="s">
        <v>11</v>
      </c>
      <c r="B21" s="113">
        <f t="shared" ref="B21:M21" si="5">SUM(B15:B20)</f>
        <v>1508.3333333333333</v>
      </c>
      <c r="C21" s="113">
        <f t="shared" si="5"/>
        <v>1508.3333333333333</v>
      </c>
      <c r="D21" s="113">
        <f t="shared" si="5"/>
        <v>1508.3333333333333</v>
      </c>
      <c r="E21" s="113">
        <f t="shared" si="5"/>
        <v>1508.3333333333333</v>
      </c>
      <c r="F21" s="113">
        <f t="shared" si="5"/>
        <v>1508.3333333333333</v>
      </c>
      <c r="G21" s="113">
        <f t="shared" si="5"/>
        <v>1508.3333333333333</v>
      </c>
      <c r="H21" s="113">
        <f t="shared" si="5"/>
        <v>1508.3333333333333</v>
      </c>
      <c r="I21" s="113">
        <f t="shared" si="5"/>
        <v>1508.3333333333333</v>
      </c>
      <c r="J21" s="113">
        <f t="shared" si="5"/>
        <v>1508.3333333333333</v>
      </c>
      <c r="K21" s="113">
        <f t="shared" si="5"/>
        <v>1508.3333333333333</v>
      </c>
      <c r="L21" s="113">
        <f t="shared" si="5"/>
        <v>1508.3333333333333</v>
      </c>
      <c r="M21" s="113">
        <f t="shared" si="5"/>
        <v>1508.3333333333333</v>
      </c>
    </row>
    <row r="22" spans="1:13" ht="16" x14ac:dyDescent="0.2">
      <c r="A22" s="109"/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</row>
    <row r="23" spans="1:13" ht="16" x14ac:dyDescent="0.2">
      <c r="A23" s="107" t="s">
        <v>1</v>
      </c>
      <c r="B23" s="111">
        <f t="shared" ref="B23:M23" si="6">SUM(B12-B21)</f>
        <v>6491.666666666667</v>
      </c>
      <c r="C23" s="111">
        <f t="shared" si="6"/>
        <v>5317.166666666667</v>
      </c>
      <c r="D23" s="111">
        <f t="shared" si="6"/>
        <v>5317.166666666667</v>
      </c>
      <c r="E23" s="111">
        <f t="shared" si="6"/>
        <v>5317.166666666667</v>
      </c>
      <c r="F23" s="111">
        <f t="shared" si="6"/>
        <v>5317.166666666667</v>
      </c>
      <c r="G23" s="111">
        <f t="shared" si="6"/>
        <v>5317.166666666667</v>
      </c>
      <c r="H23" s="111">
        <f t="shared" si="6"/>
        <v>5317.166666666667</v>
      </c>
      <c r="I23" s="111">
        <f t="shared" si="6"/>
        <v>5317.166666666667</v>
      </c>
      <c r="J23" s="111">
        <f t="shared" si="6"/>
        <v>5317.166666666667</v>
      </c>
      <c r="K23" s="111">
        <f t="shared" si="6"/>
        <v>5317.166666666667</v>
      </c>
      <c r="L23" s="111">
        <f t="shared" si="6"/>
        <v>5317.166666666667</v>
      </c>
      <c r="M23" s="111">
        <f t="shared" si="6"/>
        <v>5317.166666666667</v>
      </c>
    </row>
    <row r="24" spans="1:13" ht="16" x14ac:dyDescent="0.2">
      <c r="A24" s="110"/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2"/>
    </row>
    <row r="25" spans="1:13" ht="16" x14ac:dyDescent="0.2">
      <c r="A25" s="110" t="s">
        <v>12</v>
      </c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2"/>
    </row>
    <row r="26" spans="1:13" ht="16" x14ac:dyDescent="0.2">
      <c r="A26" s="109" t="s">
        <v>74</v>
      </c>
      <c r="B26" s="113">
        <v>900</v>
      </c>
      <c r="C26" s="113">
        <v>900</v>
      </c>
      <c r="D26" s="113">
        <v>900</v>
      </c>
      <c r="E26" s="113">
        <v>900</v>
      </c>
      <c r="F26" s="113">
        <v>900</v>
      </c>
      <c r="G26" s="113">
        <v>900</v>
      </c>
      <c r="H26" s="113">
        <v>900</v>
      </c>
      <c r="I26" s="113">
        <v>900</v>
      </c>
      <c r="J26" s="113">
        <v>900</v>
      </c>
      <c r="K26" s="113">
        <v>900</v>
      </c>
      <c r="L26" s="113">
        <v>900</v>
      </c>
      <c r="M26" s="113">
        <v>900</v>
      </c>
    </row>
    <row r="27" spans="1:13" ht="16" x14ac:dyDescent="0.2">
      <c r="A27" s="109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</row>
    <row r="28" spans="1:13" ht="16" x14ac:dyDescent="0.2">
      <c r="A28" s="88" t="s">
        <v>13</v>
      </c>
      <c r="B28" s="111">
        <f>SUM(B23-B26)</f>
        <v>5591.666666666667</v>
      </c>
      <c r="C28" s="111">
        <f t="shared" ref="C28:M28" si="7">SUM(C23-C26)</f>
        <v>4417.166666666667</v>
      </c>
      <c r="D28" s="111">
        <f t="shared" si="7"/>
        <v>4417.166666666667</v>
      </c>
      <c r="E28" s="111">
        <f t="shared" si="7"/>
        <v>4417.166666666667</v>
      </c>
      <c r="F28" s="111">
        <f t="shared" si="7"/>
        <v>4417.166666666667</v>
      </c>
      <c r="G28" s="111">
        <f t="shared" si="7"/>
        <v>4417.166666666667</v>
      </c>
      <c r="H28" s="111">
        <f t="shared" si="7"/>
        <v>4417.166666666667</v>
      </c>
      <c r="I28" s="111">
        <f t="shared" si="7"/>
        <v>4417.166666666667</v>
      </c>
      <c r="J28" s="111">
        <f t="shared" si="7"/>
        <v>4417.166666666667</v>
      </c>
      <c r="K28" s="111">
        <f t="shared" si="7"/>
        <v>4417.166666666667</v>
      </c>
      <c r="L28" s="111">
        <f t="shared" si="7"/>
        <v>4417.166666666667</v>
      </c>
      <c r="M28" s="111">
        <f t="shared" si="7"/>
        <v>4417.166666666667</v>
      </c>
    </row>
  </sheetData>
  <pageMargins left="0.75" right="0.75" top="1" bottom="1" header="0.5" footer="0.5"/>
  <pageSetup orientation="portrait" horizontalDpi="4294967294" verticalDpi="0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29"/>
  <sheetViews>
    <sheetView topLeftCell="A3" zoomScale="98" zoomScaleNormal="98" workbookViewId="0">
      <selection activeCell="D18" sqref="D18"/>
    </sheetView>
  </sheetViews>
  <sheetFormatPr baseColWidth="10" defaultColWidth="11.5" defaultRowHeight="15" x14ac:dyDescent="0.2"/>
  <cols>
    <col min="1" max="1" width="24.1640625" bestFit="1" customWidth="1"/>
    <col min="2" max="2" width="13" bestFit="1" customWidth="1"/>
    <col min="3" max="6" width="14.5" bestFit="1" customWidth="1"/>
    <col min="8" max="8" width="26.6640625" bestFit="1" customWidth="1"/>
    <col min="9" max="9" width="21" customWidth="1"/>
  </cols>
  <sheetData>
    <row r="1" spans="1:9" ht="16" x14ac:dyDescent="0.2">
      <c r="A1" s="44" t="s">
        <v>76</v>
      </c>
      <c r="B1" s="106" t="s">
        <v>51</v>
      </c>
      <c r="C1" s="106" t="s">
        <v>52</v>
      </c>
      <c r="D1" s="106" t="s">
        <v>53</v>
      </c>
      <c r="E1" s="106" t="s">
        <v>54</v>
      </c>
      <c r="F1" s="106" t="s">
        <v>55</v>
      </c>
    </row>
    <row r="2" spans="1:9" ht="16" x14ac:dyDescent="0.2">
      <c r="A2" s="107" t="s">
        <v>0</v>
      </c>
      <c r="B2" s="108"/>
      <c r="C2" s="108"/>
      <c r="D2" s="108"/>
      <c r="E2" s="108"/>
      <c r="F2" s="108"/>
      <c r="H2" s="61" t="s">
        <v>104</v>
      </c>
      <c r="I2" s="49">
        <v>0.05</v>
      </c>
    </row>
    <row r="3" spans="1:9" ht="16" x14ac:dyDescent="0.2">
      <c r="A3" s="109" t="s">
        <v>14</v>
      </c>
      <c r="B3" s="111">
        <f>Revenue!$C18 * 12</f>
        <v>97200</v>
      </c>
      <c r="C3" s="111">
        <f>SUM(('CP Yearly Statement'!B3 * Revenue!$D18), B3)</f>
        <v>102060</v>
      </c>
      <c r="D3" s="111">
        <f>SUM(('CP Yearly Statement'!C3 * Revenue!$D18), C3)</f>
        <v>107163</v>
      </c>
      <c r="E3" s="111">
        <f>SUM(('CP Yearly Statement'!D3 * Revenue!$D18), D3)</f>
        <v>112521.15</v>
      </c>
      <c r="F3" s="111">
        <f>SUM(('CP Yearly Statement'!E3 * Revenue!$D18), E3)</f>
        <v>118147.20749999999</v>
      </c>
      <c r="H3" s="62" t="s">
        <v>105</v>
      </c>
      <c r="I3" s="50">
        <v>0.1</v>
      </c>
    </row>
    <row r="4" spans="1:9" ht="16" x14ac:dyDescent="0.2">
      <c r="A4" s="109" t="s">
        <v>2</v>
      </c>
      <c r="B4" s="112">
        <v>0</v>
      </c>
      <c r="C4" s="113">
        <f>Revenue!C21 * 12</f>
        <v>-9720</v>
      </c>
      <c r="D4" s="113">
        <f>SUM((Revenue!$C21 * Revenue!$D21), C4)</f>
        <v>-9801</v>
      </c>
      <c r="E4" s="113">
        <f>SUM((Revenue!$C21 * Revenue!$D21), D4)</f>
        <v>-9882</v>
      </c>
      <c r="F4" s="113">
        <f>SUM((Revenue!$C21 * Revenue!$D21), E4)</f>
        <v>-9963</v>
      </c>
      <c r="H4" s="62" t="s">
        <v>3</v>
      </c>
      <c r="I4" s="50">
        <v>0.05</v>
      </c>
    </row>
    <row r="5" spans="1:9" ht="16" x14ac:dyDescent="0.2">
      <c r="A5" s="109" t="s">
        <v>3</v>
      </c>
      <c r="B5" s="112">
        <v>0</v>
      </c>
      <c r="C5" s="113">
        <f>Revenue!C25 * 12</f>
        <v>-4374</v>
      </c>
      <c r="D5" s="113">
        <f>SUM((Revenue!$C25 * Revenue!$D25), C5)</f>
        <v>-4392.2250000000004</v>
      </c>
      <c r="E5" s="113">
        <f>SUM((Revenue!$C25 * Revenue!$D25), D5)</f>
        <v>-4410.4500000000007</v>
      </c>
      <c r="F5" s="113">
        <f>SUM((Revenue!$C25 * Revenue!$D25), E5)</f>
        <v>-4428.6750000000011</v>
      </c>
      <c r="H5" s="62" t="s">
        <v>14</v>
      </c>
      <c r="I5" s="53" t="s">
        <v>106</v>
      </c>
    </row>
    <row r="6" spans="1:9" ht="16" x14ac:dyDescent="0.2">
      <c r="A6" s="107" t="s">
        <v>75</v>
      </c>
      <c r="B6" s="111">
        <f>B3</f>
        <v>97200</v>
      </c>
      <c r="C6" s="111">
        <f>SUM(C3:C5)</f>
        <v>87966</v>
      </c>
      <c r="D6" s="111">
        <f t="shared" ref="D6:F6" si="0">SUM(D3:D5)</f>
        <v>92969.774999999994</v>
      </c>
      <c r="E6" s="111">
        <f t="shared" si="0"/>
        <v>98228.7</v>
      </c>
      <c r="F6" s="111">
        <f t="shared" si="0"/>
        <v>103755.53249999999</v>
      </c>
      <c r="H6" s="64" t="s">
        <v>61</v>
      </c>
      <c r="I6" s="53" t="s">
        <v>111</v>
      </c>
    </row>
    <row r="7" spans="1:9" ht="16" x14ac:dyDescent="0.2">
      <c r="A7" s="109"/>
      <c r="B7" s="112"/>
      <c r="C7" s="112"/>
      <c r="D7" s="112"/>
      <c r="E7" s="112"/>
      <c r="F7" s="112"/>
      <c r="H7" s="64" t="s">
        <v>71</v>
      </c>
      <c r="I7" s="53" t="s">
        <v>112</v>
      </c>
    </row>
    <row r="8" spans="1:9" ht="16" x14ac:dyDescent="0.2">
      <c r="A8" s="110" t="s">
        <v>5</v>
      </c>
      <c r="B8" s="112"/>
      <c r="C8" s="112"/>
      <c r="D8" s="112"/>
      <c r="E8" s="112"/>
      <c r="F8" s="112"/>
      <c r="H8" s="64" t="s">
        <v>72</v>
      </c>
      <c r="I8" s="53" t="s">
        <v>112</v>
      </c>
    </row>
    <row r="9" spans="1:9" ht="16" x14ac:dyDescent="0.2">
      <c r="A9" s="109" t="s">
        <v>56</v>
      </c>
      <c r="B9" s="111">
        <v>1200</v>
      </c>
      <c r="C9" s="111">
        <v>1200</v>
      </c>
      <c r="D9" s="111">
        <v>1200</v>
      </c>
      <c r="E9" s="111">
        <v>1200</v>
      </c>
      <c r="F9" s="111">
        <v>1200</v>
      </c>
      <c r="H9" s="64" t="s">
        <v>62</v>
      </c>
      <c r="I9" s="53" t="s">
        <v>113</v>
      </c>
    </row>
    <row r="10" spans="1:9" ht="16" x14ac:dyDescent="0.2">
      <c r="A10" s="107" t="s">
        <v>6</v>
      </c>
      <c r="B10" s="111">
        <f>B9</f>
        <v>1200</v>
      </c>
      <c r="C10" s="111">
        <f t="shared" ref="C10:F10" si="1">C9</f>
        <v>1200</v>
      </c>
      <c r="D10" s="111">
        <f t="shared" si="1"/>
        <v>1200</v>
      </c>
      <c r="E10" s="111">
        <f t="shared" si="1"/>
        <v>1200</v>
      </c>
      <c r="F10" s="111">
        <f t="shared" si="1"/>
        <v>1200</v>
      </c>
      <c r="H10" s="62" t="s">
        <v>107</v>
      </c>
      <c r="I10" s="54" t="s">
        <v>108</v>
      </c>
    </row>
    <row r="11" spans="1:9" ht="16" x14ac:dyDescent="0.2">
      <c r="A11" s="109"/>
      <c r="B11" s="112"/>
      <c r="C11" s="112"/>
      <c r="D11" s="112"/>
      <c r="E11" s="112"/>
      <c r="F11" s="112"/>
      <c r="H11" s="62" t="s">
        <v>74</v>
      </c>
      <c r="I11" s="60" t="s">
        <v>109</v>
      </c>
    </row>
    <row r="12" spans="1:9" ht="16" x14ac:dyDescent="0.2">
      <c r="A12" s="107" t="s">
        <v>7</v>
      </c>
      <c r="B12" s="111">
        <f>SUM(B6-B10)</f>
        <v>96000</v>
      </c>
      <c r="C12" s="111">
        <f t="shared" ref="C12:F12" si="2">SUM(C6-C10)</f>
        <v>86766</v>
      </c>
      <c r="D12" s="111">
        <f t="shared" si="2"/>
        <v>91769.774999999994</v>
      </c>
      <c r="E12" s="111">
        <f t="shared" si="2"/>
        <v>97028.7</v>
      </c>
      <c r="F12" s="111">
        <f t="shared" si="2"/>
        <v>102555.53249999999</v>
      </c>
      <c r="H12" s="63" t="s">
        <v>110</v>
      </c>
      <c r="I12" s="59">
        <v>0.01</v>
      </c>
    </row>
    <row r="13" spans="1:9" ht="16" x14ac:dyDescent="0.2">
      <c r="A13" s="109"/>
      <c r="B13" s="112"/>
      <c r="C13" s="112"/>
      <c r="D13" s="112"/>
      <c r="E13" s="112"/>
      <c r="F13" s="112"/>
    </row>
    <row r="14" spans="1:9" ht="16" x14ac:dyDescent="0.2">
      <c r="A14" s="110" t="s">
        <v>8</v>
      </c>
      <c r="B14" s="112"/>
      <c r="C14" s="112"/>
      <c r="D14" s="112"/>
      <c r="E14" s="112"/>
      <c r="F14" s="112"/>
    </row>
    <row r="15" spans="1:9" ht="16" x14ac:dyDescent="0.2">
      <c r="A15" s="109" t="s">
        <v>9</v>
      </c>
      <c r="B15" s="114">
        <f>(200000 * 0.0135)</f>
        <v>2700</v>
      </c>
      <c r="C15" s="111">
        <f>SUM((B15 * 0.01), B15)</f>
        <v>2727</v>
      </c>
      <c r="D15" s="111">
        <f t="shared" ref="D15:F15" si="3">SUM((C15 * 0.01), C15)</f>
        <v>2754.27</v>
      </c>
      <c r="E15" s="111">
        <f t="shared" si="3"/>
        <v>2781.8126999999999</v>
      </c>
      <c r="F15" s="111">
        <f t="shared" si="3"/>
        <v>2809.630827</v>
      </c>
    </row>
    <row r="16" spans="1:9" ht="16" x14ac:dyDescent="0.2">
      <c r="A16" s="109" t="s">
        <v>10</v>
      </c>
      <c r="B16" s="113">
        <v>1000</v>
      </c>
      <c r="C16" s="113">
        <v>1000</v>
      </c>
      <c r="D16" s="113">
        <v>1000</v>
      </c>
      <c r="E16" s="113">
        <v>1000</v>
      </c>
      <c r="F16" s="113">
        <v>1000</v>
      </c>
    </row>
    <row r="17" spans="1:6" ht="16" x14ac:dyDescent="0.2">
      <c r="A17" s="109" t="s">
        <v>61</v>
      </c>
      <c r="B17" s="113">
        <f>300 * 12</f>
        <v>3600</v>
      </c>
      <c r="C17" s="113">
        <f t="shared" ref="C17:F17" si="4">300 * 12</f>
        <v>3600</v>
      </c>
      <c r="D17" s="113">
        <f t="shared" si="4"/>
        <v>3600</v>
      </c>
      <c r="E17" s="113">
        <f t="shared" si="4"/>
        <v>3600</v>
      </c>
      <c r="F17" s="113">
        <f t="shared" si="4"/>
        <v>3600</v>
      </c>
    </row>
    <row r="18" spans="1:6" ht="16" x14ac:dyDescent="0.2">
      <c r="A18" s="109" t="s">
        <v>71</v>
      </c>
      <c r="B18" s="111">
        <f>200 * 12</f>
        <v>2400</v>
      </c>
      <c r="C18" s="111">
        <f t="shared" ref="C18:F19" si="5">200 * 12</f>
        <v>2400</v>
      </c>
      <c r="D18" s="111">
        <f t="shared" si="5"/>
        <v>2400</v>
      </c>
      <c r="E18" s="111">
        <f t="shared" si="5"/>
        <v>2400</v>
      </c>
      <c r="F18" s="111">
        <f t="shared" si="5"/>
        <v>2400</v>
      </c>
    </row>
    <row r="19" spans="1:6" ht="16" x14ac:dyDescent="0.2">
      <c r="A19" s="109" t="s">
        <v>72</v>
      </c>
      <c r="B19" s="111">
        <f>200 * 12</f>
        <v>2400</v>
      </c>
      <c r="C19" s="111">
        <f t="shared" si="5"/>
        <v>2400</v>
      </c>
      <c r="D19" s="111">
        <f t="shared" si="5"/>
        <v>2400</v>
      </c>
      <c r="E19" s="111">
        <f t="shared" si="5"/>
        <v>2400</v>
      </c>
      <c r="F19" s="111">
        <f t="shared" si="5"/>
        <v>2400</v>
      </c>
    </row>
    <row r="20" spans="1:6" ht="16" x14ac:dyDescent="0.2">
      <c r="A20" s="109" t="s">
        <v>62</v>
      </c>
      <c r="B20" s="111">
        <f xml:space="preserve"> 500 * 12</f>
        <v>6000</v>
      </c>
      <c r="C20" s="111">
        <f t="shared" ref="C20:F20" si="6" xml:space="preserve"> 500 * 12</f>
        <v>6000</v>
      </c>
      <c r="D20" s="111">
        <f t="shared" si="6"/>
        <v>6000</v>
      </c>
      <c r="E20" s="111">
        <f t="shared" si="6"/>
        <v>6000</v>
      </c>
      <c r="F20" s="111">
        <f t="shared" si="6"/>
        <v>6000</v>
      </c>
    </row>
    <row r="21" spans="1:6" ht="16" x14ac:dyDescent="0.2">
      <c r="A21" s="107" t="s">
        <v>11</v>
      </c>
      <c r="B21" s="111">
        <f>SUM(B15:B20)</f>
        <v>18100</v>
      </c>
      <c r="C21" s="111">
        <f t="shared" ref="C21:F21" si="7">SUM(C15:C20)</f>
        <v>18127</v>
      </c>
      <c r="D21" s="111">
        <f t="shared" si="7"/>
        <v>18154.27</v>
      </c>
      <c r="E21" s="111">
        <f t="shared" si="7"/>
        <v>18181.812700000002</v>
      </c>
      <c r="F21" s="111">
        <f t="shared" si="7"/>
        <v>18209.630827000001</v>
      </c>
    </row>
    <row r="22" spans="1:6" ht="16" x14ac:dyDescent="0.2">
      <c r="A22" s="109"/>
      <c r="B22" s="112"/>
      <c r="C22" s="112"/>
      <c r="D22" s="112"/>
      <c r="E22" s="112"/>
      <c r="F22" s="112"/>
    </row>
    <row r="23" spans="1:6" ht="16" x14ac:dyDescent="0.2">
      <c r="A23" s="107" t="s">
        <v>1</v>
      </c>
      <c r="B23" s="111">
        <f>SUM(B12-B21)</f>
        <v>77900</v>
      </c>
      <c r="C23" s="111">
        <f t="shared" ref="C23:F23" si="8">SUM(C12-C21)</f>
        <v>68639</v>
      </c>
      <c r="D23" s="111">
        <f t="shared" si="8"/>
        <v>73615.50499999999</v>
      </c>
      <c r="E23" s="111">
        <f t="shared" si="8"/>
        <v>78846.887300000002</v>
      </c>
      <c r="F23" s="111">
        <f t="shared" si="8"/>
        <v>84345.901672999986</v>
      </c>
    </row>
    <row r="24" spans="1:6" ht="16" x14ac:dyDescent="0.2">
      <c r="A24" s="110"/>
      <c r="B24" s="112"/>
      <c r="C24" s="112"/>
      <c r="D24" s="112"/>
      <c r="E24" s="112"/>
      <c r="F24" s="112"/>
    </row>
    <row r="25" spans="1:6" ht="16" x14ac:dyDescent="0.2">
      <c r="A25" s="110" t="s">
        <v>12</v>
      </c>
      <c r="B25" s="112"/>
      <c r="C25" s="112"/>
      <c r="D25" s="112"/>
      <c r="E25" s="112"/>
      <c r="F25" s="112"/>
    </row>
    <row r="26" spans="1:6" ht="16" x14ac:dyDescent="0.2">
      <c r="A26" s="109" t="s">
        <v>73</v>
      </c>
      <c r="B26" s="111">
        <f xml:space="preserve"> 900 * 12</f>
        <v>10800</v>
      </c>
      <c r="C26" s="111">
        <f t="shared" ref="C26:F26" si="9" xml:space="preserve"> 900 * 12</f>
        <v>10800</v>
      </c>
      <c r="D26" s="111">
        <f t="shared" si="9"/>
        <v>10800</v>
      </c>
      <c r="E26" s="111">
        <f t="shared" si="9"/>
        <v>10800</v>
      </c>
      <c r="F26" s="111">
        <f t="shared" si="9"/>
        <v>10800</v>
      </c>
    </row>
    <row r="27" spans="1:6" ht="16" x14ac:dyDescent="0.2">
      <c r="A27" s="109"/>
      <c r="B27" s="112"/>
      <c r="C27" s="112"/>
      <c r="D27" s="112"/>
      <c r="E27" s="112"/>
      <c r="F27" s="112"/>
    </row>
    <row r="28" spans="1:6" ht="16" x14ac:dyDescent="0.2">
      <c r="A28" s="88" t="s">
        <v>13</v>
      </c>
      <c r="B28" s="111">
        <f>SUM(B23-B26)</f>
        <v>67100</v>
      </c>
      <c r="C28" s="111">
        <f t="shared" ref="C28:F28" si="10">SUM(C23-C26)</f>
        <v>57839</v>
      </c>
      <c r="D28" s="111">
        <f t="shared" si="10"/>
        <v>62815.50499999999</v>
      </c>
      <c r="E28" s="111">
        <f t="shared" si="10"/>
        <v>68046.887300000002</v>
      </c>
      <c r="F28" s="111">
        <f t="shared" si="10"/>
        <v>73545.901672999986</v>
      </c>
    </row>
    <row r="29" spans="1:6" ht="16" x14ac:dyDescent="0.2">
      <c r="A29" s="108"/>
      <c r="B29" s="108"/>
      <c r="C29" s="108"/>
      <c r="D29" s="108"/>
      <c r="E29" s="108"/>
      <c r="F29" s="108"/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5:Z39"/>
  <sheetViews>
    <sheetView workbookViewId="0">
      <selection activeCell="C7" sqref="C7"/>
    </sheetView>
  </sheetViews>
  <sheetFormatPr baseColWidth="10" defaultColWidth="11.5" defaultRowHeight="15" x14ac:dyDescent="0.2"/>
  <cols>
    <col min="1" max="5" width="11.5" bestFit="1" customWidth="1"/>
    <col min="6" max="12" width="12" bestFit="1" customWidth="1"/>
    <col min="13" max="14" width="14.83203125" bestFit="1" customWidth="1"/>
    <col min="15" max="15" width="15.5" bestFit="1" customWidth="1"/>
    <col min="16" max="20" width="15.1640625" bestFit="1" customWidth="1"/>
    <col min="21" max="23" width="15.1640625" customWidth="1"/>
    <col min="24" max="26" width="16.1640625" bestFit="1" customWidth="1"/>
  </cols>
  <sheetData>
    <row r="5" spans="1:26" x14ac:dyDescent="0.2">
      <c r="A5" t="s">
        <v>81</v>
      </c>
    </row>
    <row r="6" spans="1:26" x14ac:dyDescent="0.2">
      <c r="A6" s="28" t="s">
        <v>51</v>
      </c>
      <c r="B6" s="28" t="s">
        <v>52</v>
      </c>
      <c r="C6" s="28" t="s">
        <v>53</v>
      </c>
      <c r="D6" s="28" t="s">
        <v>54</v>
      </c>
      <c r="E6" s="29" t="s">
        <v>55</v>
      </c>
    </row>
    <row r="7" spans="1:26" x14ac:dyDescent="0.2">
      <c r="A7" s="32">
        <f>'CP Yearly Statement'!B28</f>
        <v>67100</v>
      </c>
      <c r="B7" s="32">
        <f>'CP Yearly Statement'!C28</f>
        <v>57839</v>
      </c>
      <c r="C7" s="32">
        <f>'CP Yearly Statement'!D28</f>
        <v>62815.50499999999</v>
      </c>
      <c r="D7" s="32">
        <f>'CP Yearly Statement'!E28</f>
        <v>68046.887300000002</v>
      </c>
      <c r="E7" s="32">
        <f>'CP Yearly Statement'!F28</f>
        <v>73545.901672999986</v>
      </c>
      <c r="H7" s="30"/>
      <c r="I7" s="30"/>
      <c r="J7" s="30"/>
      <c r="K7" s="30"/>
      <c r="L7" s="30"/>
    </row>
    <row r="8" spans="1:26" x14ac:dyDescent="0.2">
      <c r="J8" s="30"/>
      <c r="K8" s="30"/>
      <c r="L8" s="30"/>
    </row>
    <row r="9" spans="1:26" x14ac:dyDescent="0.2">
      <c r="J9" s="30"/>
      <c r="K9" s="30"/>
      <c r="L9" s="30"/>
    </row>
    <row r="10" spans="1:26" x14ac:dyDescent="0.2">
      <c r="A10" s="31" t="s">
        <v>82</v>
      </c>
      <c r="D10" s="25"/>
      <c r="E10" s="8"/>
    </row>
    <row r="11" spans="1:26" x14ac:dyDescent="0.2">
      <c r="A11" s="31" t="s">
        <v>83</v>
      </c>
      <c r="B11" s="31" t="s">
        <v>40</v>
      </c>
      <c r="C11" s="31" t="s">
        <v>41</v>
      </c>
      <c r="D11" s="31" t="s">
        <v>42</v>
      </c>
      <c r="E11" s="31" t="s">
        <v>43</v>
      </c>
      <c r="F11" s="31" t="s">
        <v>44</v>
      </c>
      <c r="G11" s="31" t="s">
        <v>45</v>
      </c>
      <c r="H11" s="31" t="s">
        <v>46</v>
      </c>
      <c r="I11" s="31" t="s">
        <v>47</v>
      </c>
      <c r="J11" s="31" t="s">
        <v>48</v>
      </c>
      <c r="K11" s="31" t="s">
        <v>49</v>
      </c>
      <c r="L11" s="31" t="s">
        <v>50</v>
      </c>
    </row>
    <row r="12" spans="1:26" x14ac:dyDescent="0.2">
      <c r="A12" s="33">
        <f>'CP PCF Monthly Statement '!B28</f>
        <v>5591.666666666667</v>
      </c>
      <c r="B12" s="33">
        <f>'CP PCF Monthly Statement '!C28</f>
        <v>4417.166666666667</v>
      </c>
      <c r="C12" s="33">
        <f>'CP PCF Monthly Statement '!D28</f>
        <v>4417.166666666667</v>
      </c>
      <c r="D12" s="33">
        <f>'CP PCF Monthly Statement '!E28</f>
        <v>4417.166666666667</v>
      </c>
      <c r="E12" s="33">
        <f>'CP PCF Monthly Statement '!F28</f>
        <v>4417.166666666667</v>
      </c>
      <c r="F12" s="33">
        <f>'CP PCF Monthly Statement '!G28</f>
        <v>4417.166666666667</v>
      </c>
      <c r="G12" s="33">
        <f>'CP PCF Monthly Statement '!H28</f>
        <v>4417.166666666667</v>
      </c>
      <c r="H12" s="33">
        <f>'CP PCF Monthly Statement '!I28</f>
        <v>4417.166666666667</v>
      </c>
      <c r="I12" s="33">
        <f>'CP PCF Monthly Statement '!J28</f>
        <v>4417.166666666667</v>
      </c>
      <c r="J12" s="33">
        <f>'CP PCF Monthly Statement '!K28</f>
        <v>4417.166666666667</v>
      </c>
      <c r="K12" s="33">
        <f>'CP PCF Monthly Statement '!L28</f>
        <v>4417.166666666667</v>
      </c>
      <c r="L12" s="33">
        <f>'CP PCF Monthly Statement '!M28</f>
        <v>4417.166666666667</v>
      </c>
      <c r="N12" s="25"/>
      <c r="O12" t="s">
        <v>84</v>
      </c>
      <c r="P12" t="s">
        <v>85</v>
      </c>
      <c r="Q12" t="s">
        <v>86</v>
      </c>
      <c r="R12" t="s">
        <v>87</v>
      </c>
      <c r="S12" t="s">
        <v>88</v>
      </c>
      <c r="T12" t="s">
        <v>89</v>
      </c>
      <c r="U12" t="s">
        <v>90</v>
      </c>
      <c r="V12" t="s">
        <v>91</v>
      </c>
      <c r="W12" t="s">
        <v>92</v>
      </c>
      <c r="X12" t="s">
        <v>93</v>
      </c>
      <c r="Y12" t="s">
        <v>94</v>
      </c>
      <c r="Z12" t="s">
        <v>95</v>
      </c>
    </row>
    <row r="13" spans="1:26" x14ac:dyDescent="0.2">
      <c r="A13" s="25"/>
      <c r="O13" s="25">
        <v>5591.666666666667</v>
      </c>
      <c r="P13" s="25">
        <v>4417.166666666667</v>
      </c>
      <c r="Q13" s="25">
        <v>4417.166666666667</v>
      </c>
      <c r="R13" s="25">
        <v>4417.166666666667</v>
      </c>
      <c r="S13" s="25">
        <v>4417.166666666667</v>
      </c>
      <c r="T13" s="25">
        <v>4417.166666666667</v>
      </c>
      <c r="U13" s="25">
        <v>4417.166666666667</v>
      </c>
      <c r="V13" s="25">
        <v>4417.166666666667</v>
      </c>
      <c r="W13" s="25">
        <v>4417.166666666667</v>
      </c>
      <c r="X13" s="25">
        <v>4417.166666666667</v>
      </c>
      <c r="Y13" s="25">
        <v>4417.166666666667</v>
      </c>
      <c r="Z13" s="25">
        <v>4417.166666666667</v>
      </c>
    </row>
    <row r="15" spans="1:26" x14ac:dyDescent="0.2">
      <c r="A15" t="s">
        <v>79</v>
      </c>
      <c r="D15" s="25"/>
    </row>
    <row r="16" spans="1:26" x14ac:dyDescent="0.2">
      <c r="A16" s="34" t="s">
        <v>51</v>
      </c>
      <c r="B16" s="34" t="s">
        <v>52</v>
      </c>
      <c r="C16" s="34" t="s">
        <v>53</v>
      </c>
      <c r="D16" s="34" t="s">
        <v>54</v>
      </c>
      <c r="E16" s="35" t="s">
        <v>55</v>
      </c>
    </row>
    <row r="17" spans="1:12" x14ac:dyDescent="0.2">
      <c r="A17" s="17">
        <f>'Rental Yearly Statement'!B24</f>
        <v>-4336.4000000000015</v>
      </c>
      <c r="B17" s="17">
        <f>'Rental Yearly Statement'!C24</f>
        <v>-4985.2200000000012</v>
      </c>
      <c r="C17" s="17">
        <f>'Rental Yearly Statement'!D24</f>
        <v>-5670.8010000000013</v>
      </c>
      <c r="D17" s="17">
        <f>'Rental Yearly Statement'!E24</f>
        <v>-6395.0242500000004</v>
      </c>
      <c r="E17" s="17">
        <f>'Rental Yearly Statement'!F24</f>
        <v>-7159.8654945000017</v>
      </c>
    </row>
    <row r="20" spans="1:12" x14ac:dyDescent="0.2">
      <c r="A20" t="s">
        <v>80</v>
      </c>
    </row>
    <row r="21" spans="1:12" x14ac:dyDescent="0.2">
      <c r="A21" s="31" t="s">
        <v>83</v>
      </c>
      <c r="B21" s="31" t="s">
        <v>40</v>
      </c>
      <c r="C21" s="31" t="s">
        <v>41</v>
      </c>
      <c r="D21" s="31" t="s">
        <v>42</v>
      </c>
      <c r="E21" s="31" t="s">
        <v>43</v>
      </c>
      <c r="F21" s="31" t="s">
        <v>44</v>
      </c>
      <c r="G21" s="31" t="s">
        <v>45</v>
      </c>
      <c r="H21" s="31" t="s">
        <v>46</v>
      </c>
      <c r="I21" s="31" t="s">
        <v>47</v>
      </c>
      <c r="J21" s="31" t="s">
        <v>48</v>
      </c>
      <c r="K21" s="31" t="s">
        <v>49</v>
      </c>
      <c r="L21" s="31" t="s">
        <v>50</v>
      </c>
    </row>
    <row r="22" spans="1:12" x14ac:dyDescent="0.2">
      <c r="A22" s="17">
        <f>'PCF Monthly - Statement'!B24</f>
        <v>361.36666666666679</v>
      </c>
      <c r="B22" s="17">
        <f>'PCF Monthly - Statement'!C24</f>
        <v>303.16654666666682</v>
      </c>
      <c r="C22" s="17">
        <f>'PCF Monthly - Statement'!D24</f>
        <v>303.16654666666682</v>
      </c>
      <c r="D22" s="17">
        <f>'PCF Monthly - Statement'!E24</f>
        <v>303.16654666666682</v>
      </c>
      <c r="E22" s="17">
        <f>'PCF Monthly - Statement'!F24</f>
        <v>303.16654666666682</v>
      </c>
      <c r="F22" s="17">
        <f>'PCF Monthly - Statement'!G24</f>
        <v>303.16654666666682</v>
      </c>
      <c r="G22" s="17">
        <f>'PCF Monthly - Statement'!H24</f>
        <v>303.16654666666682</v>
      </c>
      <c r="H22" s="17">
        <f>'PCF Monthly - Statement'!I24</f>
        <v>303.16654666666682</v>
      </c>
      <c r="I22" s="17">
        <f>'PCF Monthly - Statement'!J24</f>
        <v>303.16654666666682</v>
      </c>
      <c r="J22" s="17">
        <f>'PCF Monthly - Statement'!K24</f>
        <v>303.16654666666682</v>
      </c>
      <c r="K22" s="17">
        <f>'PCF Monthly - Statement'!L24</f>
        <v>303.16654666666682</v>
      </c>
      <c r="L22" s="17">
        <f>'PCF Monthly - Statement'!M24</f>
        <v>303.16654666666682</v>
      </c>
    </row>
    <row r="25" spans="1:12" x14ac:dyDescent="0.2">
      <c r="A25" t="s">
        <v>101</v>
      </c>
    </row>
    <row r="26" spans="1:12" x14ac:dyDescent="0.2">
      <c r="A26" t="s">
        <v>102</v>
      </c>
    </row>
    <row r="27" spans="1:12" x14ac:dyDescent="0.2">
      <c r="A27" t="s">
        <v>103</v>
      </c>
    </row>
    <row r="30" spans="1:12" x14ac:dyDescent="0.2">
      <c r="A30" t="s">
        <v>96</v>
      </c>
      <c r="B30" t="s">
        <v>98</v>
      </c>
      <c r="C30" t="s">
        <v>97</v>
      </c>
      <c r="D30" t="s">
        <v>99</v>
      </c>
      <c r="E30" t="s">
        <v>100</v>
      </c>
    </row>
    <row r="31" spans="1:12" x14ac:dyDescent="0.2">
      <c r="A31" s="33">
        <v>67100</v>
      </c>
      <c r="B31" s="33">
        <v>57839</v>
      </c>
      <c r="C31" s="33">
        <v>62815.50499999999</v>
      </c>
      <c r="D31" s="33">
        <v>68046.887300000002</v>
      </c>
      <c r="E31" s="33">
        <v>73545.901672999986</v>
      </c>
    </row>
    <row r="34" spans="1:5" x14ac:dyDescent="0.2">
      <c r="A34" t="s">
        <v>96</v>
      </c>
      <c r="B34" t="s">
        <v>98</v>
      </c>
      <c r="C34" t="s">
        <v>97</v>
      </c>
      <c r="D34" t="s">
        <v>99</v>
      </c>
      <c r="E34" t="s">
        <v>100</v>
      </c>
    </row>
    <row r="35" spans="1:5" x14ac:dyDescent="0.2">
      <c r="A35" s="33">
        <v>-4336.4000000000015</v>
      </c>
      <c r="B35" s="33">
        <v>-4985.2200000000012</v>
      </c>
      <c r="C35" s="33">
        <v>-5670.8010000000013</v>
      </c>
      <c r="D35" s="33">
        <v>-6395.0242500000004</v>
      </c>
      <c r="E35" s="33">
        <v>-7159.8654945000017</v>
      </c>
    </row>
    <row r="37" spans="1:5" x14ac:dyDescent="0.2">
      <c r="A37" t="s">
        <v>101</v>
      </c>
    </row>
    <row r="38" spans="1:5" x14ac:dyDescent="0.2">
      <c r="A38" t="s">
        <v>102</v>
      </c>
    </row>
    <row r="39" spans="1:5" x14ac:dyDescent="0.2">
      <c r="A39" t="s">
        <v>103</v>
      </c>
    </row>
  </sheetData>
  <pageMargins left="0.7" right="0.7" top="0.75" bottom="0.75" header="0.3" footer="0.3"/>
  <pageSetup orientation="portrait" horizontalDpi="4294967294" verticalDpi="4294967293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Q31"/>
  <sheetViews>
    <sheetView showGridLines="0" tabSelected="1" zoomScale="77" zoomScaleNormal="77" workbookViewId="0">
      <selection activeCell="A2" sqref="A2"/>
    </sheetView>
  </sheetViews>
  <sheetFormatPr baseColWidth="10" defaultColWidth="11.5" defaultRowHeight="15" x14ac:dyDescent="0.2"/>
  <cols>
    <col min="2" max="2" width="28.83203125" customWidth="1"/>
    <col min="3" max="7" width="13.5" bestFit="1" customWidth="1"/>
    <col min="10" max="10" width="28.33203125" bestFit="1" customWidth="1"/>
    <col min="11" max="11" width="15.5" bestFit="1" customWidth="1"/>
    <col min="12" max="19" width="15.1640625" bestFit="1" customWidth="1"/>
    <col min="20" max="22" width="16.1640625" bestFit="1" customWidth="1"/>
  </cols>
  <sheetData>
    <row r="2" spans="1:17" ht="19" x14ac:dyDescent="0.25">
      <c r="A2" s="27"/>
      <c r="B2" s="131" t="s">
        <v>77</v>
      </c>
      <c r="C2" s="131"/>
      <c r="D2" s="131"/>
      <c r="E2" s="131"/>
      <c r="F2" s="131"/>
      <c r="G2" s="131"/>
      <c r="H2" s="42"/>
      <c r="J2" s="130" t="s">
        <v>78</v>
      </c>
      <c r="K2" s="130"/>
      <c r="L2" s="130"/>
      <c r="M2" s="130"/>
      <c r="N2" s="130"/>
      <c r="O2" s="130"/>
    </row>
    <row r="3" spans="1:17" x14ac:dyDescent="0.2">
      <c r="A3" s="26"/>
      <c r="B3" s="129"/>
      <c r="C3" s="129"/>
      <c r="D3" s="129"/>
      <c r="E3" s="129"/>
      <c r="F3" s="129"/>
      <c r="G3" s="129"/>
      <c r="M3" s="26"/>
      <c r="N3" s="26"/>
      <c r="O3" s="26"/>
    </row>
    <row r="4" spans="1:17" ht="17" thickBot="1" x14ac:dyDescent="0.25">
      <c r="B4" s="115" t="s">
        <v>114</v>
      </c>
      <c r="C4" s="122" t="s">
        <v>51</v>
      </c>
      <c r="D4" s="122" t="s">
        <v>52</v>
      </c>
      <c r="E4" s="122" t="s">
        <v>53</v>
      </c>
      <c r="F4" s="122" t="s">
        <v>54</v>
      </c>
      <c r="G4" s="123" t="s">
        <v>55</v>
      </c>
      <c r="J4" s="83" t="s">
        <v>76</v>
      </c>
      <c r="K4" s="89" t="s">
        <v>51</v>
      </c>
      <c r="L4" s="89" t="s">
        <v>52</v>
      </c>
      <c r="M4" s="89" t="s">
        <v>53</v>
      </c>
      <c r="N4" s="89" t="s">
        <v>54</v>
      </c>
      <c r="O4" s="90" t="s">
        <v>55</v>
      </c>
      <c r="P4" s="26"/>
    </row>
    <row r="5" spans="1:17" ht="17" thickTop="1" x14ac:dyDescent="0.2">
      <c r="B5" s="124" t="s">
        <v>0</v>
      </c>
      <c r="C5" s="65"/>
      <c r="D5" s="65"/>
      <c r="E5" s="65"/>
      <c r="F5" s="65"/>
      <c r="G5" s="66"/>
      <c r="J5" s="85" t="s">
        <v>0</v>
      </c>
      <c r="K5" s="79"/>
      <c r="L5" s="79"/>
      <c r="M5" s="79"/>
      <c r="N5" s="79"/>
      <c r="O5" s="80"/>
    </row>
    <row r="6" spans="1:17" ht="16" x14ac:dyDescent="0.2">
      <c r="B6" s="125" t="s">
        <v>14</v>
      </c>
      <c r="C6" s="67">
        <v>17636.400000000001</v>
      </c>
      <c r="D6" s="67">
        <v>18518.22</v>
      </c>
      <c r="E6" s="67">
        <v>19400.04</v>
      </c>
      <c r="F6" s="67">
        <v>20281.86</v>
      </c>
      <c r="G6" s="68">
        <v>21163.68</v>
      </c>
      <c r="J6" s="86" t="s">
        <v>14</v>
      </c>
      <c r="K6" s="91">
        <v>97200</v>
      </c>
      <c r="L6" s="91">
        <v>102060</v>
      </c>
      <c r="M6" s="91">
        <v>107163</v>
      </c>
      <c r="N6" s="91">
        <v>112521.15</v>
      </c>
      <c r="O6" s="92">
        <v>118147.20749999999</v>
      </c>
    </row>
    <row r="7" spans="1:17" ht="16" x14ac:dyDescent="0.2">
      <c r="B7" s="125" t="s">
        <v>2</v>
      </c>
      <c r="C7" s="69">
        <v>0</v>
      </c>
      <c r="D7" s="69">
        <v>-352.73</v>
      </c>
      <c r="E7" s="69">
        <v>-352.73</v>
      </c>
      <c r="F7" s="69">
        <v>-352.73</v>
      </c>
      <c r="G7" s="70">
        <v>-352.73</v>
      </c>
      <c r="J7" s="86" t="s">
        <v>2</v>
      </c>
      <c r="K7" s="93">
        <v>0</v>
      </c>
      <c r="L7" s="94">
        <v>-9720</v>
      </c>
      <c r="M7" s="94">
        <v>-9801</v>
      </c>
      <c r="N7" s="94">
        <v>-9882</v>
      </c>
      <c r="O7" s="95">
        <v>-9963</v>
      </c>
      <c r="P7" s="36"/>
      <c r="Q7" s="36"/>
    </row>
    <row r="8" spans="1:17" ht="16" x14ac:dyDescent="0.2">
      <c r="B8" s="125" t="s">
        <v>3</v>
      </c>
      <c r="C8" s="71">
        <v>0</v>
      </c>
      <c r="D8" s="71">
        <v>-345.67</v>
      </c>
      <c r="E8" s="71">
        <v>-345.67</v>
      </c>
      <c r="F8" s="71">
        <v>-345.67</v>
      </c>
      <c r="G8" s="72">
        <v>-345.67</v>
      </c>
      <c r="J8" s="86" t="s">
        <v>3</v>
      </c>
      <c r="K8" s="96">
        <v>0</v>
      </c>
      <c r="L8" s="97">
        <v>-4374</v>
      </c>
      <c r="M8" s="97">
        <v>-4392.2250000000004</v>
      </c>
      <c r="N8" s="97">
        <v>-4410.4500000000007</v>
      </c>
      <c r="O8" s="98">
        <v>-4428.6750000000011</v>
      </c>
    </row>
    <row r="9" spans="1:17" ht="16" x14ac:dyDescent="0.2">
      <c r="B9" s="124" t="s">
        <v>4</v>
      </c>
      <c r="C9" s="69">
        <v>17636.400000000001</v>
      </c>
      <c r="D9" s="73">
        <v>17819.82</v>
      </c>
      <c r="E9" s="73">
        <v>18701.64</v>
      </c>
      <c r="F9" s="73">
        <v>19583.46</v>
      </c>
      <c r="G9" s="74">
        <v>20465.28</v>
      </c>
      <c r="J9" s="85" t="s">
        <v>75</v>
      </c>
      <c r="K9" s="99">
        <v>97200</v>
      </c>
      <c r="L9" s="99">
        <v>87966</v>
      </c>
      <c r="M9" s="99">
        <v>92969.774999999994</v>
      </c>
      <c r="N9" s="99">
        <v>98228.7</v>
      </c>
      <c r="O9" s="100">
        <v>103755.53249999999</v>
      </c>
    </row>
    <row r="10" spans="1:17" ht="19" x14ac:dyDescent="0.25">
      <c r="A10" s="27"/>
      <c r="B10" s="125"/>
      <c r="C10" s="75"/>
      <c r="D10" s="75"/>
      <c r="E10" s="75"/>
      <c r="F10" s="75"/>
      <c r="G10" s="76"/>
      <c r="J10" s="86"/>
      <c r="K10" s="96"/>
      <c r="L10" s="96"/>
      <c r="M10" s="96"/>
      <c r="N10" s="96"/>
      <c r="O10" s="101"/>
    </row>
    <row r="11" spans="1:17" ht="16" x14ac:dyDescent="0.2">
      <c r="A11" s="26"/>
      <c r="B11" s="126" t="s">
        <v>5</v>
      </c>
      <c r="C11" s="65"/>
      <c r="D11" s="65"/>
      <c r="E11" s="65"/>
      <c r="F11" s="65"/>
      <c r="G11" s="66"/>
      <c r="J11" s="87" t="s">
        <v>5</v>
      </c>
      <c r="K11" s="93"/>
      <c r="L11" s="93"/>
      <c r="M11" s="93"/>
      <c r="N11" s="93"/>
      <c r="O11" s="102"/>
    </row>
    <row r="12" spans="1:17" ht="16" x14ac:dyDescent="0.2">
      <c r="B12" s="125" t="s">
        <v>56</v>
      </c>
      <c r="C12" s="67">
        <v>1200</v>
      </c>
      <c r="D12" s="67">
        <v>1200</v>
      </c>
      <c r="E12" s="67">
        <v>1200</v>
      </c>
      <c r="F12" s="67">
        <v>1200</v>
      </c>
      <c r="G12" s="68">
        <v>1200</v>
      </c>
      <c r="J12" s="86" t="s">
        <v>56</v>
      </c>
      <c r="K12" s="91">
        <v>1200</v>
      </c>
      <c r="L12" s="91">
        <v>1200</v>
      </c>
      <c r="M12" s="91">
        <v>1200</v>
      </c>
      <c r="N12" s="91">
        <v>1200</v>
      </c>
      <c r="O12" s="92">
        <v>1200</v>
      </c>
    </row>
    <row r="13" spans="1:17" ht="16" x14ac:dyDescent="0.2">
      <c r="B13" s="124" t="s">
        <v>6</v>
      </c>
      <c r="C13" s="73">
        <v>1200</v>
      </c>
      <c r="D13" s="73">
        <v>1200</v>
      </c>
      <c r="E13" s="73">
        <v>1200</v>
      </c>
      <c r="F13" s="73">
        <v>1200</v>
      </c>
      <c r="G13" s="74">
        <v>1200</v>
      </c>
      <c r="J13" s="85" t="s">
        <v>6</v>
      </c>
      <c r="K13" s="99">
        <v>1200</v>
      </c>
      <c r="L13" s="99">
        <v>1200</v>
      </c>
      <c r="M13" s="99">
        <v>1200</v>
      </c>
      <c r="N13" s="99">
        <v>1200</v>
      </c>
      <c r="O13" s="100">
        <v>1200</v>
      </c>
    </row>
    <row r="14" spans="1:17" ht="16" x14ac:dyDescent="0.2">
      <c r="B14" s="125"/>
      <c r="C14" s="75"/>
      <c r="D14" s="75"/>
      <c r="E14" s="75"/>
      <c r="F14" s="75"/>
      <c r="G14" s="76"/>
      <c r="J14" s="86"/>
      <c r="K14" s="96"/>
      <c r="L14" s="96"/>
      <c r="M14" s="96"/>
      <c r="N14" s="96"/>
      <c r="O14" s="101"/>
    </row>
    <row r="15" spans="1:17" ht="16" x14ac:dyDescent="0.2">
      <c r="B15" s="124" t="s">
        <v>7</v>
      </c>
      <c r="C15" s="69">
        <v>18836.400000000001</v>
      </c>
      <c r="D15" s="69">
        <v>19019.82</v>
      </c>
      <c r="E15" s="69">
        <v>19901.64</v>
      </c>
      <c r="F15" s="69">
        <v>20783.46</v>
      </c>
      <c r="G15" s="70">
        <v>21665.279999999999</v>
      </c>
      <c r="J15" s="85" t="s">
        <v>7</v>
      </c>
      <c r="K15" s="99">
        <v>96000</v>
      </c>
      <c r="L15" s="99">
        <v>86766</v>
      </c>
      <c r="M15" s="99">
        <v>91769.774999999994</v>
      </c>
      <c r="N15" s="99">
        <v>97028.7</v>
      </c>
      <c r="O15" s="100">
        <v>102555.53249999999</v>
      </c>
    </row>
    <row r="16" spans="1:17" ht="16" x14ac:dyDescent="0.2">
      <c r="B16" s="125"/>
      <c r="C16" s="75"/>
      <c r="D16" s="75"/>
      <c r="E16" s="75"/>
      <c r="F16" s="75"/>
      <c r="G16" s="76"/>
      <c r="J16" s="86"/>
      <c r="K16" s="96"/>
      <c r="L16" s="96"/>
      <c r="M16" s="96"/>
      <c r="N16" s="96"/>
      <c r="O16" s="101"/>
    </row>
    <row r="17" spans="1:15" ht="16" x14ac:dyDescent="0.2">
      <c r="B17" s="126" t="s">
        <v>8</v>
      </c>
      <c r="C17" s="65"/>
      <c r="D17" s="65"/>
      <c r="E17" s="65"/>
      <c r="F17" s="65"/>
      <c r="G17" s="66"/>
      <c r="J17" s="87" t="s">
        <v>8</v>
      </c>
      <c r="K17" s="93"/>
      <c r="L17" s="93"/>
      <c r="M17" s="93"/>
      <c r="N17" s="93"/>
      <c r="O17" s="102"/>
    </row>
    <row r="18" spans="1:15" ht="19" x14ac:dyDescent="0.25">
      <c r="A18" s="27"/>
      <c r="B18" s="125" t="s">
        <v>9</v>
      </c>
      <c r="C18" s="67">
        <v>2700</v>
      </c>
      <c r="D18" s="67">
        <v>2727</v>
      </c>
      <c r="E18" s="67">
        <v>2754.27</v>
      </c>
      <c r="F18" s="67">
        <v>2781.81</v>
      </c>
      <c r="G18" s="68">
        <v>2809.63</v>
      </c>
      <c r="J18" s="86" t="s">
        <v>9</v>
      </c>
      <c r="K18" s="103">
        <v>2700</v>
      </c>
      <c r="L18" s="91">
        <v>2727</v>
      </c>
      <c r="M18" s="91">
        <v>2754.27</v>
      </c>
      <c r="N18" s="91">
        <v>2781.8126999999999</v>
      </c>
      <c r="O18" s="92">
        <v>2809.630827</v>
      </c>
    </row>
    <row r="19" spans="1:15" ht="16" x14ac:dyDescent="0.2">
      <c r="A19" s="26"/>
      <c r="B19" s="125" t="s">
        <v>10</v>
      </c>
      <c r="C19" s="69">
        <v>1000</v>
      </c>
      <c r="D19" s="69">
        <v>1000</v>
      </c>
      <c r="E19" s="69">
        <v>1000</v>
      </c>
      <c r="F19" s="69">
        <v>1000</v>
      </c>
      <c r="G19" s="70">
        <v>1000</v>
      </c>
      <c r="J19" s="86" t="s">
        <v>10</v>
      </c>
      <c r="K19" s="94">
        <v>1000</v>
      </c>
      <c r="L19" s="94">
        <v>1000</v>
      </c>
      <c r="M19" s="94">
        <v>1000</v>
      </c>
      <c r="N19" s="94">
        <v>1000</v>
      </c>
      <c r="O19" s="95">
        <v>1000</v>
      </c>
    </row>
    <row r="20" spans="1:15" ht="16" x14ac:dyDescent="0.2">
      <c r="B20" s="124" t="s">
        <v>11</v>
      </c>
      <c r="C20" s="67">
        <v>3700</v>
      </c>
      <c r="D20" s="67">
        <v>3727</v>
      </c>
      <c r="E20" s="67">
        <v>3754.27</v>
      </c>
      <c r="F20" s="67">
        <v>3781.81</v>
      </c>
      <c r="G20" s="68">
        <v>3809.63</v>
      </c>
      <c r="J20" s="86" t="s">
        <v>61</v>
      </c>
      <c r="K20" s="97">
        <v>3600</v>
      </c>
      <c r="L20" s="97">
        <v>3600</v>
      </c>
      <c r="M20" s="97">
        <v>3600</v>
      </c>
      <c r="N20" s="97">
        <v>3600</v>
      </c>
      <c r="O20" s="98">
        <v>3600</v>
      </c>
    </row>
    <row r="21" spans="1:15" ht="16" x14ac:dyDescent="0.2">
      <c r="B21" s="125"/>
      <c r="C21" s="65"/>
      <c r="D21" s="65"/>
      <c r="E21" s="65"/>
      <c r="F21" s="65"/>
      <c r="G21" s="66"/>
      <c r="J21" s="86" t="s">
        <v>71</v>
      </c>
      <c r="K21" s="99">
        <v>2400</v>
      </c>
      <c r="L21" s="99">
        <v>2400</v>
      </c>
      <c r="M21" s="99">
        <v>2400</v>
      </c>
      <c r="N21" s="99">
        <v>2400</v>
      </c>
      <c r="O21" s="100">
        <v>2400</v>
      </c>
    </row>
    <row r="22" spans="1:15" ht="19" x14ac:dyDescent="0.25">
      <c r="B22" s="124" t="s">
        <v>1</v>
      </c>
      <c r="C22" s="71">
        <v>15136.4</v>
      </c>
      <c r="D22" s="67">
        <v>15893.22</v>
      </c>
      <c r="E22" s="67">
        <v>16687.88</v>
      </c>
      <c r="F22" s="67">
        <v>17522.28</v>
      </c>
      <c r="G22" s="68">
        <v>18398.39</v>
      </c>
      <c r="H22" s="42"/>
      <c r="J22" s="86" t="s">
        <v>72</v>
      </c>
      <c r="K22" s="91">
        <v>2400</v>
      </c>
      <c r="L22" s="91">
        <v>2400</v>
      </c>
      <c r="M22" s="91">
        <v>2400</v>
      </c>
      <c r="N22" s="91">
        <v>2400</v>
      </c>
      <c r="O22" s="92">
        <v>2400</v>
      </c>
    </row>
    <row r="23" spans="1:15" ht="16" x14ac:dyDescent="0.2">
      <c r="B23" s="126"/>
      <c r="C23" s="65"/>
      <c r="D23" s="65"/>
      <c r="E23" s="65"/>
      <c r="F23" s="65"/>
      <c r="G23" s="66"/>
      <c r="J23" s="86" t="s">
        <v>62</v>
      </c>
      <c r="K23" s="99">
        <v>6000</v>
      </c>
      <c r="L23" s="99">
        <v>6000</v>
      </c>
      <c r="M23" s="99">
        <v>6000</v>
      </c>
      <c r="N23" s="99">
        <v>6000</v>
      </c>
      <c r="O23" s="100">
        <v>6000</v>
      </c>
    </row>
    <row r="24" spans="1:15" ht="16" x14ac:dyDescent="0.2">
      <c r="B24" s="126" t="s">
        <v>12</v>
      </c>
      <c r="C24" s="75"/>
      <c r="D24" s="75"/>
      <c r="E24" s="75"/>
      <c r="F24" s="75"/>
      <c r="G24" s="76"/>
      <c r="J24" s="85" t="s">
        <v>11</v>
      </c>
      <c r="K24" s="91">
        <v>18100</v>
      </c>
      <c r="L24" s="91">
        <v>18127</v>
      </c>
      <c r="M24" s="91">
        <v>18154.27</v>
      </c>
      <c r="N24" s="91">
        <v>18181.812700000002</v>
      </c>
      <c r="O24" s="92">
        <v>18209.630827000001</v>
      </c>
    </row>
    <row r="25" spans="1:15" ht="19" x14ac:dyDescent="0.25">
      <c r="A25" s="27"/>
      <c r="B25" s="125" t="s">
        <v>73</v>
      </c>
      <c r="C25" s="73">
        <v>10800</v>
      </c>
      <c r="D25" s="73">
        <v>10908</v>
      </c>
      <c r="E25" s="73">
        <v>11017.08</v>
      </c>
      <c r="F25" s="73">
        <v>11127.25</v>
      </c>
      <c r="G25" s="74">
        <v>11238.52</v>
      </c>
      <c r="J25" s="86"/>
      <c r="K25" s="93"/>
      <c r="L25" s="93"/>
      <c r="M25" s="93"/>
      <c r="N25" s="93"/>
      <c r="O25" s="102"/>
    </row>
    <row r="26" spans="1:15" ht="16" x14ac:dyDescent="0.2">
      <c r="A26" s="26"/>
      <c r="B26" s="125"/>
      <c r="C26" s="75"/>
      <c r="D26" s="75"/>
      <c r="E26" s="75"/>
      <c r="F26" s="75"/>
      <c r="G26" s="76"/>
      <c r="J26" s="85" t="s">
        <v>1</v>
      </c>
      <c r="K26" s="91">
        <v>77900</v>
      </c>
      <c r="L26" s="91">
        <v>68639</v>
      </c>
      <c r="M26" s="91">
        <v>73615.50499999999</v>
      </c>
      <c r="N26" s="91">
        <v>78846.887300000002</v>
      </c>
      <c r="O26" s="92">
        <v>84345.901672999986</v>
      </c>
    </row>
    <row r="27" spans="1:15" ht="16" x14ac:dyDescent="0.2">
      <c r="B27" s="127" t="s">
        <v>13</v>
      </c>
      <c r="C27" s="77">
        <v>-4336.3999999999996</v>
      </c>
      <c r="D27" s="77">
        <v>-4985.22</v>
      </c>
      <c r="E27" s="77">
        <v>-5670.8</v>
      </c>
      <c r="F27" s="77">
        <v>-6395.02</v>
      </c>
      <c r="G27" s="78">
        <v>-7159.87</v>
      </c>
      <c r="J27" s="87"/>
      <c r="K27" s="93"/>
      <c r="L27" s="93"/>
      <c r="M27" s="93"/>
      <c r="N27" s="93"/>
      <c r="O27" s="102"/>
    </row>
    <row r="28" spans="1:15" ht="16" x14ac:dyDescent="0.2">
      <c r="J28" s="87" t="s">
        <v>12</v>
      </c>
      <c r="K28" s="96"/>
      <c r="L28" s="96"/>
      <c r="M28" s="96"/>
      <c r="N28" s="96"/>
      <c r="O28" s="101"/>
    </row>
    <row r="29" spans="1:15" ht="16" x14ac:dyDescent="0.2">
      <c r="J29" s="86" t="s">
        <v>73</v>
      </c>
      <c r="K29" s="99">
        <v>10800</v>
      </c>
      <c r="L29" s="99">
        <v>10800</v>
      </c>
      <c r="M29" s="99">
        <v>10800</v>
      </c>
      <c r="N29" s="99">
        <v>10800</v>
      </c>
      <c r="O29" s="100">
        <v>10800</v>
      </c>
    </row>
    <row r="30" spans="1:15" ht="16" x14ac:dyDescent="0.2">
      <c r="J30" s="86"/>
      <c r="K30" s="96"/>
      <c r="L30" s="96"/>
      <c r="M30" s="96"/>
      <c r="N30" s="96"/>
      <c r="O30" s="101"/>
    </row>
    <row r="31" spans="1:15" ht="16" x14ac:dyDescent="0.2">
      <c r="J31" s="88" t="s">
        <v>13</v>
      </c>
      <c r="K31" s="104">
        <v>67100</v>
      </c>
      <c r="L31" s="104">
        <v>57839</v>
      </c>
      <c r="M31" s="104">
        <v>62815.50499999999</v>
      </c>
      <c r="N31" s="104">
        <v>68046.887300000002</v>
      </c>
      <c r="O31" s="105">
        <v>73545.901672999986</v>
      </c>
    </row>
  </sheetData>
  <mergeCells count="3">
    <mergeCell ref="B3:G3"/>
    <mergeCell ref="J2:O2"/>
    <mergeCell ref="B2:G2"/>
  </mergeCells>
  <pageMargins left="0.7" right="0.7" top="0.75" bottom="0.75" header="0.3" footer="0.3"/>
  <pageSetup orientation="landscape" horizontalDpi="0" verticalDpi="0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Calculations</vt:lpstr>
      <vt:lpstr>PCF Monthly - Statement</vt:lpstr>
      <vt:lpstr>Rental Yearly Statement</vt:lpstr>
      <vt:lpstr>Revenue</vt:lpstr>
      <vt:lpstr>CP PCF Monthly Statement </vt:lpstr>
      <vt:lpstr>CP Yearly Statement</vt:lpstr>
      <vt:lpstr>CP vs Rental PT Data</vt:lpstr>
      <vt:lpstr>CP vs Rental Dashboard</vt:lpstr>
      <vt:lpstr>'CP vs Rental Dashboard'!Print_Area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Charity Youngblood</dc:creator>
  <cp:lastModifiedBy>Charity Youngblood</cp:lastModifiedBy>
  <cp:lastPrinted>2018-05-31T21:09:41Z</cp:lastPrinted>
  <dcterms:created xsi:type="dcterms:W3CDTF">2018-05-16T22:13:11Z</dcterms:created>
  <dcterms:modified xsi:type="dcterms:W3CDTF">2018-05-31T21:18:20Z</dcterms:modified>
</cp:coreProperties>
</file>